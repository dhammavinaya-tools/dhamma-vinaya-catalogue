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FILESRV1\share1\Sharing between users\For A. Kusalacara\From Ardmk\"/>
    </mc:Choice>
  </mc:AlternateContent>
  <xr:revisionPtr revIDLastSave="0" documentId="13_ncr:1000001_{25852B9F-88E7-8248-B97F-0A59DF39C47F}" xr6:coauthVersionLast="47" xr6:coauthVersionMax="47" xr10:uidLastSave="{00000000-0000-0000-0000-000000000000}"/>
  <bookViews>
    <workbookView xWindow="-120" yWindow="-120" windowWidth="29040" windowHeight="15840" tabRatio="491" firstSheet="1" activeTab="11" xr2:uid="{00000000-000D-0000-FFFF-FFFF00000000}"/>
  </bookViews>
  <sheets>
    <sheet name="S.P.I.C.E. Unsorted" sheetId="1" state="hidden" r:id="rId1"/>
    <sheet name="S." sheetId="4" r:id="rId2"/>
    <sheet name="P." sheetId="5" r:id="rId3"/>
    <sheet name="I." sheetId="6" r:id="rId4"/>
    <sheet name="C." sheetId="7" r:id="rId5"/>
    <sheet name="E." sheetId="8" r:id="rId6"/>
    <sheet name="Before Meditation" sheetId="9" r:id="rId7"/>
    <sheet name="During Meditation" sheetId="10" r:id="rId8"/>
    <sheet name="After Meditation" sheetId="11" r:id="rId9"/>
    <sheet name="Sessions" sheetId="29" r:id="rId10"/>
    <sheet name="Scales" sheetId="28" state="hidden" r:id="rId11"/>
    <sheet name="Day" sheetId="30" r:id="rId12"/>
    <sheet name="Daily" sheetId="12" r:id="rId13"/>
    <sheet name="Weekly" sheetId="19" r:id="rId14"/>
    <sheet name="Monthly" sheetId="20" r:id="rId15"/>
    <sheet name="Every 3 Months" sheetId="21" r:id="rId16"/>
    <sheet name="Every 6 Months" sheetId="22" r:id="rId17"/>
    <sheet name="Yearly" sheetId="23" r:id="rId18"/>
  </sheets>
  <definedNames>
    <definedName name="_xlnm._FilterDatabase" localSheetId="8" hidden="1">'After Meditation'!$Q$1:$Q$11</definedName>
    <definedName name="_xlnm._FilterDatabase" localSheetId="6" hidden="1">'Before Meditation'!$Q$1:$Q$40</definedName>
    <definedName name="_xlnm._FilterDatabase" localSheetId="4" hidden="1">'C.'!$Q$1:$Q$21</definedName>
    <definedName name="_xlnm._FilterDatabase" localSheetId="12" hidden="1">Daily!$Q$1:$Q$26</definedName>
    <definedName name="_xlnm._FilterDatabase" localSheetId="7" hidden="1">'During Meditation'!$Q$1:$Q$28</definedName>
    <definedName name="_xlnm._FilterDatabase" localSheetId="5" hidden="1">E.!$Q$1:$Q$29</definedName>
    <definedName name="_xlnm._FilterDatabase" localSheetId="15" hidden="1">'Every 3 Months'!$Q$1:$Q$28</definedName>
    <definedName name="_xlnm._FilterDatabase" localSheetId="16" hidden="1">'Every 6 Months'!$Q$1:$Q$28</definedName>
    <definedName name="_xlnm._FilterDatabase" localSheetId="3" hidden="1">I.!$Q$1:$Q$28</definedName>
    <definedName name="_xlnm._FilterDatabase" localSheetId="14" hidden="1">Monthly!$Q$1:$Q$25</definedName>
    <definedName name="_xlnm._FilterDatabase" localSheetId="2" hidden="1">P.!$Q$1:$Q$40</definedName>
    <definedName name="_xlnm._FilterDatabase" localSheetId="1" hidden="1">S.!$Q$1:$Q$17</definedName>
    <definedName name="_xlnm._FilterDatabase" localSheetId="13" hidden="1">Weekly!$Q$1:$Q$11</definedName>
    <definedName name="_xlnm._FilterDatabase" localSheetId="17" hidden="1">Yearly!$Q$1:$Q$28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30" l="1"/>
  <c r="F4" i="30"/>
  <c r="E4" i="30"/>
  <c r="P12" i="23"/>
  <c r="P11" i="23"/>
  <c r="P10" i="23"/>
  <c r="P9" i="23"/>
  <c r="P6" i="23"/>
  <c r="P5" i="23"/>
  <c r="P4" i="23"/>
  <c r="P3" i="23"/>
  <c r="P2" i="23"/>
  <c r="P8" i="23"/>
  <c r="P7" i="23"/>
  <c r="P12" i="22"/>
  <c r="P11" i="22"/>
  <c r="P10" i="22"/>
  <c r="P9" i="22"/>
  <c r="P6" i="22"/>
  <c r="P5" i="22"/>
  <c r="P4" i="22"/>
  <c r="P3" i="22"/>
  <c r="P2" i="22"/>
  <c r="P8" i="22"/>
  <c r="P7" i="22"/>
  <c r="P12" i="21"/>
  <c r="P11" i="21"/>
  <c r="P10" i="21"/>
  <c r="P9" i="21"/>
  <c r="P6" i="21"/>
  <c r="P5" i="21"/>
  <c r="P4" i="21"/>
  <c r="P3" i="21"/>
  <c r="P2" i="21"/>
  <c r="P15" i="21"/>
  <c r="P16" i="21"/>
  <c r="P2" i="20"/>
  <c r="P4" i="19"/>
  <c r="P28" i="23"/>
  <c r="P27" i="23"/>
  <c r="P26" i="23"/>
  <c r="P25" i="23"/>
  <c r="P24" i="23"/>
  <c r="P23" i="23"/>
  <c r="P19" i="23"/>
  <c r="P18" i="23"/>
  <c r="P17" i="23"/>
  <c r="P16" i="23"/>
  <c r="P15" i="23"/>
  <c r="P28" i="22"/>
  <c r="P27" i="22"/>
  <c r="P26" i="22"/>
  <c r="P25" i="22"/>
  <c r="P24" i="22"/>
  <c r="P23" i="22"/>
  <c r="P19" i="22"/>
  <c r="P18" i="22"/>
  <c r="P17" i="22"/>
  <c r="P16" i="22"/>
  <c r="P15" i="22"/>
  <c r="P28" i="21"/>
  <c r="P27" i="21"/>
  <c r="P26" i="21"/>
  <c r="P25" i="21"/>
  <c r="P24" i="21"/>
  <c r="P23" i="21"/>
  <c r="P19" i="21"/>
  <c r="P18" i="21"/>
  <c r="P17" i="21"/>
  <c r="P25" i="20"/>
  <c r="P24" i="20"/>
  <c r="P23" i="20"/>
  <c r="P22" i="20"/>
  <c r="P21" i="20"/>
  <c r="P20" i="20"/>
  <c r="P16" i="20"/>
  <c r="P15" i="20"/>
  <c r="P14" i="20"/>
  <c r="P13" i="20"/>
  <c r="P12" i="20"/>
  <c r="P27" i="19"/>
  <c r="P26" i="19"/>
  <c r="P25" i="19"/>
  <c r="P24" i="19"/>
  <c r="P23" i="19"/>
  <c r="P22" i="19"/>
  <c r="P18" i="19"/>
  <c r="P17" i="19"/>
  <c r="P16" i="19"/>
  <c r="P15" i="19"/>
  <c r="P14" i="19"/>
  <c r="P7" i="12"/>
  <c r="P6" i="20"/>
  <c r="P10" i="20"/>
  <c r="P9" i="20"/>
  <c r="P9" i="19"/>
  <c r="P8" i="20"/>
  <c r="P8" i="19"/>
  <c r="P7" i="20"/>
  <c r="P8" i="21"/>
  <c r="P7" i="21"/>
  <c r="P5" i="20"/>
  <c r="P4" i="20"/>
  <c r="P3" i="20"/>
  <c r="P2" i="19"/>
  <c r="P6" i="19"/>
  <c r="P7" i="19"/>
  <c r="P5" i="19"/>
  <c r="P16" i="12"/>
  <c r="P3" i="19"/>
  <c r="P26" i="12"/>
  <c r="P8" i="12"/>
  <c r="P25" i="12"/>
  <c r="P24" i="12"/>
  <c r="P23" i="12"/>
  <c r="P22" i="12"/>
  <c r="P21" i="12"/>
  <c r="P6" i="12"/>
  <c r="P17" i="12"/>
  <c r="P5" i="12"/>
  <c r="P15" i="12"/>
  <c r="P14" i="12"/>
  <c r="P13" i="12"/>
  <c r="P4" i="12"/>
  <c r="P3" i="12"/>
  <c r="P2" i="12"/>
  <c r="P3" i="10"/>
  <c r="P7" i="9"/>
  <c r="P2" i="10"/>
  <c r="P17" i="9"/>
  <c r="P40" i="9"/>
  <c r="P28" i="10"/>
  <c r="P11" i="11"/>
  <c r="P19" i="10"/>
  <c r="P17" i="10"/>
  <c r="P15" i="10"/>
  <c r="P10" i="11"/>
  <c r="P9" i="10"/>
  <c r="P7" i="10"/>
  <c r="P26" i="10"/>
  <c r="P24" i="10"/>
  <c r="P21" i="10"/>
  <c r="P18" i="10"/>
  <c r="P6" i="10"/>
  <c r="P9" i="11"/>
  <c r="P8" i="11"/>
  <c r="P7" i="11"/>
  <c r="P14" i="10"/>
  <c r="P11" i="10"/>
  <c r="P10" i="10"/>
  <c r="P6" i="11"/>
  <c r="P8" i="10"/>
  <c r="P5" i="11"/>
  <c r="P4" i="11"/>
  <c r="P3" i="11"/>
  <c r="P39" i="9"/>
  <c r="P37" i="9"/>
  <c r="P33" i="9"/>
  <c r="P16" i="10"/>
  <c r="P30" i="9"/>
  <c r="P29" i="9"/>
  <c r="P27" i="9"/>
  <c r="P13" i="10"/>
  <c r="P12" i="10"/>
  <c r="P24" i="9"/>
  <c r="P23" i="9"/>
  <c r="P22" i="9"/>
  <c r="P21" i="9"/>
  <c r="P19" i="9"/>
  <c r="P16" i="9"/>
  <c r="P15" i="9"/>
  <c r="P14" i="9"/>
  <c r="P13" i="9"/>
  <c r="P12" i="9"/>
  <c r="P10" i="9"/>
  <c r="P9" i="9"/>
  <c r="P5" i="10"/>
  <c r="P4" i="10"/>
  <c r="P8" i="9"/>
  <c r="P6" i="9"/>
  <c r="P4" i="9"/>
  <c r="P3" i="9"/>
  <c r="P2" i="9"/>
  <c r="P38" i="9"/>
  <c r="P36" i="9"/>
  <c r="P35" i="9"/>
  <c r="P34" i="9"/>
  <c r="P32" i="9"/>
  <c r="P31" i="9"/>
  <c r="P2" i="11"/>
  <c r="P28" i="9"/>
  <c r="P26" i="9"/>
  <c r="P25" i="9"/>
  <c r="P20" i="9"/>
  <c r="P18" i="9"/>
  <c r="P20" i="8"/>
  <c r="P26" i="8"/>
  <c r="P29" i="8"/>
  <c r="P27" i="8"/>
  <c r="P28" i="8"/>
  <c r="P3" i="8"/>
  <c r="P11" i="8"/>
  <c r="P10" i="8"/>
  <c r="P15" i="8"/>
  <c r="P21" i="8"/>
  <c r="P19" i="8"/>
  <c r="P9" i="8"/>
  <c r="P22" i="8"/>
  <c r="P23" i="8"/>
  <c r="P6" i="8"/>
  <c r="P5" i="8"/>
  <c r="P18" i="8"/>
  <c r="P16" i="8"/>
  <c r="P17" i="8"/>
  <c r="P8" i="8"/>
  <c r="P13" i="8"/>
  <c r="P4" i="8"/>
  <c r="P2" i="8"/>
  <c r="P14" i="8"/>
  <c r="P25" i="8"/>
  <c r="P12" i="8"/>
  <c r="P24" i="8"/>
  <c r="P7" i="8"/>
  <c r="P13" i="7"/>
  <c r="P16" i="7"/>
  <c r="P19" i="7"/>
  <c r="P12" i="7"/>
  <c r="P14" i="7"/>
  <c r="P20" i="7"/>
  <c r="P5" i="7"/>
  <c r="P8" i="7"/>
  <c r="P9" i="7"/>
  <c r="P11" i="7"/>
  <c r="P18" i="7"/>
  <c r="P6" i="7"/>
  <c r="P4" i="7"/>
  <c r="P7" i="7"/>
  <c r="P3" i="7"/>
  <c r="P17" i="7"/>
  <c r="P21" i="7"/>
  <c r="P15" i="7"/>
  <c r="P10" i="7"/>
  <c r="P2" i="7"/>
  <c r="P15" i="6"/>
  <c r="P4" i="6"/>
  <c r="P6" i="6"/>
  <c r="P9" i="6"/>
  <c r="P11" i="6"/>
  <c r="P13" i="6"/>
  <c r="P8" i="6"/>
  <c r="P3" i="6"/>
  <c r="P14" i="6"/>
  <c r="P28" i="6"/>
  <c r="P17" i="6"/>
  <c r="P21" i="6"/>
  <c r="P7" i="6"/>
  <c r="P2" i="6"/>
  <c r="P10" i="6"/>
  <c r="P27" i="6"/>
  <c r="P12" i="6"/>
  <c r="P23" i="6"/>
  <c r="P20" i="6"/>
  <c r="P24" i="6"/>
  <c r="P25" i="6"/>
  <c r="P19" i="6"/>
  <c r="P16" i="6"/>
  <c r="P5" i="6"/>
  <c r="P26" i="6"/>
  <c r="P22" i="6"/>
  <c r="P18" i="6"/>
  <c r="P2" i="5"/>
  <c r="P28" i="5"/>
  <c r="P10" i="5"/>
  <c r="P37" i="5"/>
  <c r="P34" i="5"/>
  <c r="P27" i="5"/>
  <c r="P38" i="5"/>
  <c r="P32" i="5"/>
  <c r="P8" i="5"/>
  <c r="P25" i="5"/>
  <c r="P5" i="5"/>
  <c r="P19" i="5"/>
  <c r="P20" i="5"/>
  <c r="P12" i="5"/>
  <c r="P35" i="5"/>
  <c r="P15" i="5"/>
  <c r="P33" i="5"/>
  <c r="P31" i="5"/>
  <c r="P11" i="5"/>
  <c r="P6" i="5"/>
  <c r="P3" i="5"/>
  <c r="P29" i="5"/>
  <c r="P40" i="5"/>
  <c r="P14" i="5"/>
  <c r="P21" i="5"/>
  <c r="P4" i="5"/>
  <c r="P13" i="5"/>
  <c r="P18" i="5"/>
  <c r="P36" i="5"/>
  <c r="P30" i="5"/>
  <c r="P26" i="5"/>
  <c r="P9" i="5"/>
  <c r="P17" i="5"/>
  <c r="P39" i="5"/>
  <c r="P24" i="5"/>
  <c r="P7" i="5"/>
  <c r="P23" i="5"/>
  <c r="P16" i="5"/>
  <c r="P22" i="5"/>
  <c r="P17" i="4"/>
  <c r="P5" i="4"/>
  <c r="P6" i="4"/>
  <c r="P16" i="4"/>
  <c r="P8" i="4"/>
  <c r="P9" i="4"/>
  <c r="P10" i="4"/>
  <c r="P2" i="4"/>
  <c r="P7" i="4"/>
  <c r="P4" i="4"/>
  <c r="P15" i="4"/>
  <c r="P3" i="4"/>
  <c r="P12" i="4"/>
  <c r="P14" i="4"/>
  <c r="P11" i="4"/>
  <c r="P13" i="4"/>
  <c r="AS16" i="1"/>
  <c r="AR16" i="1"/>
  <c r="AQ16" i="1"/>
  <c r="AP16" i="1"/>
  <c r="AO16" i="1"/>
  <c r="AN16" i="1"/>
  <c r="EF16" i="1"/>
  <c r="EE16" i="1"/>
  <c r="ED16" i="1"/>
  <c r="EC16" i="1"/>
  <c r="EB16" i="1"/>
  <c r="EA16" i="1"/>
  <c r="DZ16" i="1"/>
  <c r="DY16" i="1"/>
  <c r="DX16" i="1"/>
  <c r="DW16" i="1"/>
  <c r="DV16" i="1"/>
  <c r="DU16" i="1"/>
  <c r="DT16" i="1"/>
  <c r="DS16" i="1"/>
  <c r="DR16" i="1"/>
  <c r="DQ16" i="1"/>
  <c r="DP16" i="1"/>
  <c r="DO16" i="1"/>
  <c r="DN16" i="1"/>
  <c r="DM16" i="1"/>
  <c r="DL16" i="1"/>
  <c r="DK16" i="1"/>
  <c r="DJ16" i="1"/>
  <c r="DI16" i="1"/>
  <c r="DH16" i="1"/>
  <c r="DG16" i="1"/>
  <c r="DF16" i="1"/>
  <c r="DE16" i="1"/>
  <c r="DC16" i="1"/>
  <c r="DB16" i="1"/>
  <c r="DA16" i="1"/>
  <c r="CZ16" i="1"/>
  <c r="CY16" i="1"/>
  <c r="CX16" i="1"/>
  <c r="CW16" i="1"/>
  <c r="CV16" i="1"/>
  <c r="CU16" i="1"/>
  <c r="CT16" i="1"/>
  <c r="CS16" i="1"/>
  <c r="CR16" i="1"/>
  <c r="CQ16" i="1"/>
  <c r="CP16" i="1"/>
  <c r="CO16" i="1"/>
  <c r="CN16" i="1"/>
  <c r="CM16" i="1"/>
  <c r="CL16" i="1"/>
  <c r="CK16" i="1"/>
  <c r="CJ16" i="1"/>
  <c r="CH16" i="1"/>
  <c r="CG16" i="1"/>
  <c r="CF16" i="1"/>
  <c r="CE16" i="1"/>
  <c r="CD16" i="1"/>
  <c r="CC16" i="1"/>
  <c r="CB16" i="1"/>
  <c r="CA16" i="1"/>
  <c r="BZ16" i="1"/>
  <c r="BY16" i="1"/>
  <c r="BX16" i="1"/>
  <c r="BW16" i="1"/>
  <c r="BV16" i="1"/>
  <c r="BU16" i="1"/>
  <c r="BT16" i="1"/>
  <c r="BS16" i="1"/>
  <c r="BR16" i="1"/>
  <c r="BQ16" i="1"/>
  <c r="BP16" i="1"/>
  <c r="BO16" i="1"/>
  <c r="BN16" i="1"/>
  <c r="BM16" i="1"/>
  <c r="BL16" i="1"/>
  <c r="BK16" i="1"/>
  <c r="BJ16" i="1"/>
  <c r="BI16" i="1"/>
  <c r="BF16" i="1"/>
  <c r="BE16" i="1"/>
  <c r="BD16" i="1"/>
  <c r="BC16" i="1"/>
  <c r="BB16" i="1"/>
  <c r="BA16" i="1"/>
  <c r="AZ16" i="1"/>
  <c r="AY16" i="1"/>
  <c r="AX16" i="1"/>
  <c r="AW16" i="1"/>
  <c r="AV16" i="1"/>
  <c r="AU16" i="1"/>
  <c r="AT16" i="1"/>
  <c r="AM16" i="1"/>
  <c r="AL16" i="1"/>
  <c r="AK16" i="1"/>
  <c r="AJ16" i="1"/>
  <c r="AI16" i="1"/>
  <c r="AH16" i="1"/>
  <c r="AG16" i="1"/>
  <c r="AF16" i="1"/>
  <c r="AE16" i="1"/>
  <c r="AD16" i="1"/>
  <c r="AC16" i="1"/>
  <c r="AB16" i="1"/>
  <c r="AA16" i="1"/>
  <c r="Z16" i="1"/>
  <c r="Y16" i="1"/>
  <c r="X16" i="1"/>
  <c r="W16" i="1"/>
  <c r="V16" i="1"/>
  <c r="U16" i="1"/>
  <c r="T16" i="1"/>
  <c r="R16" i="1"/>
  <c r="Q16" i="1"/>
  <c r="P16" i="1"/>
  <c r="O16" i="1"/>
  <c r="N16" i="1"/>
  <c r="M16" i="1"/>
  <c r="L16" i="1"/>
  <c r="K16" i="1"/>
  <c r="J16" i="1"/>
  <c r="I16" i="1"/>
  <c r="H16" i="1"/>
  <c r="G16" i="1"/>
  <c r="F16" i="1"/>
  <c r="E16" i="1"/>
  <c r="D16" i="1"/>
  <c r="C16" i="1"/>
  <c r="BH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Kusalacara</author>
  </authors>
  <commentList>
    <comment ref="B9" authorId="0" shapeId="0" xr:uid="{350A3F14-4C5F-49E9-BEF9-8BF6043D3628}">
      <text>
        <r>
          <rPr>
            <b/>
            <sz val="9"/>
            <color indexed="81"/>
            <rFont val="Tahoma"/>
            <family val="2"/>
          </rPr>
          <t>How long is the duration of the mind wander?</t>
        </r>
      </text>
    </comment>
    <comment ref="B10" authorId="0" shapeId="0" xr:uid="{957950C3-0CD5-43D1-BE93-E6EE143D8846}">
      <text>
        <r>
          <rPr>
            <b/>
            <sz val="9"/>
            <color indexed="81"/>
            <rFont val="Tahoma"/>
            <family val="2"/>
          </rPr>
          <t>How often does the mind wander?</t>
        </r>
      </text>
    </comment>
    <comment ref="B11" authorId="0" shapeId="0" xr:uid="{0FC05277-E036-4E46-B635-C76A09142A67}">
      <text>
        <r>
          <rPr>
            <b/>
            <sz val="9"/>
            <color indexed="81"/>
            <rFont val="Tahoma"/>
            <family val="2"/>
          </rPr>
          <t xml:space="preserve">Alertness and vigilance levels
</t>
        </r>
      </text>
    </comment>
    <comment ref="B12" authorId="0" shapeId="0" xr:uid="{D0D1F7B9-3819-4077-877B-23F933CFB495}">
      <text>
        <r>
          <rPr>
            <b/>
            <sz val="9"/>
            <color indexed="81"/>
            <rFont val="Tahoma"/>
            <family val="2"/>
          </rPr>
          <t>Key skill (kusala) tracked in this session</t>
        </r>
      </text>
    </comment>
    <comment ref="B14" authorId="0" shapeId="0" xr:uid="{7C196753-7043-4685-A580-358EE2C74C62}">
      <text>
        <r>
          <rPr>
            <b/>
            <sz val="9"/>
            <color indexed="81"/>
            <rFont val="Tahoma"/>
            <family val="2"/>
          </rPr>
          <t>Level of samadhi currently practiced</t>
        </r>
      </text>
    </comment>
    <comment ref="B21" authorId="0" shapeId="0" xr:uid="{3A38C2C4-DF5B-4A0D-984B-CC70BA722568}">
      <text>
        <r>
          <rPr>
            <b/>
            <sz val="9"/>
            <color indexed="81"/>
            <rFont val="Tahoma"/>
            <family val="2"/>
          </rPr>
          <t>How satisfied am I with this meditation session?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Kusalacara</author>
  </authors>
  <commentList>
    <comment ref="B10" authorId="0" shapeId="0" xr:uid="{DC3D27C3-E624-4FA7-B145-61B8509FBD65}">
      <text>
        <r>
          <rPr>
            <b/>
            <sz val="9"/>
            <color indexed="81"/>
            <rFont val="Tahoma"/>
            <family val="2"/>
          </rPr>
          <t xml:space="preserve">A mind that delights in non-proliferation can be used as a marker for positive feedback
</t>
        </r>
      </text>
    </comment>
    <comment ref="B13" authorId="0" shapeId="0" xr:uid="{4D859D6D-15D3-4E96-BFE4-EF6C057A4C5A}">
      <text>
        <r>
          <rPr>
            <b/>
            <sz val="9"/>
            <color indexed="81"/>
            <rFont val="Tahoma"/>
            <family val="2"/>
          </rPr>
          <t xml:space="preserve">Baseline state of mind </t>
        </r>
        <r>
          <rPr>
            <sz val="9"/>
            <color indexed="81"/>
            <rFont val="Tahoma"/>
            <family val="2"/>
          </rPr>
          <t xml:space="preserve">
</t>
        </r>
      </text>
    </comment>
    <comment ref="B14" authorId="0" shapeId="0" xr:uid="{B02C685E-2E01-4C39-916D-292493D66067}">
      <text>
        <r>
          <rPr>
            <b/>
            <sz val="9"/>
            <color indexed="81"/>
            <rFont val="Tahoma"/>
            <family val="2"/>
          </rPr>
          <t>How long does the effect of a practice last after a session?</t>
        </r>
      </text>
    </comment>
  </commentList>
</comments>
</file>

<file path=xl/sharedStrings.xml><?xml version="1.0" encoding="utf-8"?>
<sst xmlns="http://schemas.openxmlformats.org/spreadsheetml/2006/main" count="1199" uniqueCount="486">
  <si>
    <t>Timestamp</t>
  </si>
  <si>
    <t xml:space="preserve">Attitudes
Be mindful of and equanimous regarding any disturbances or wandering thoughts.
</t>
  </si>
  <si>
    <t>S.</t>
  </si>
  <si>
    <t>Define a realistic target of how often and for how long it is acceptable for the mind to leave from the meditation object.</t>
  </si>
  <si>
    <t xml:space="preserve">Define a realistic target for how long at least the mind is supposed to stay in a zone of productive meditation and/or wellbeing. </t>
  </si>
  <si>
    <t>Define a realistic target for how long the mind is supposed to remain on the meditation object. This can be measured either by distance on the walking path without wandering mind, or by measuring the time the mind stays on the object.</t>
  </si>
  <si>
    <t>Define a target level of relaxation (the higher the better) or tension (the lower the better) during meditation.</t>
  </si>
  <si>
    <t>Target level of a) bodily and b) mental energy.</t>
  </si>
  <si>
    <t xml:space="preserve">Score your ability to stick to the schedule e.g. Score from 1-10; 
1 Being not being able to stick to the schedule at all, and 10 sticking to the schedule perfectly. </t>
  </si>
  <si>
    <t>Define short and long-term goals in terms of hours of meditation a day/week/year/lifetime.</t>
  </si>
  <si>
    <t xml:space="preserve">How quickly can I enter the state of meditation and how quickly can I settle the mind, with the chosen mediation object. </t>
  </si>
  <si>
    <t xml:space="preserve">How quickly can I overcome a negative state, hindrances, or let go of compulsive thoughts. </t>
  </si>
  <si>
    <t xml:space="preserve">Scoring the strength and ability to maintain the jhana-factors. </t>
  </si>
  <si>
    <t>Rate the presence or absence of specific cravings e.g. food, sex, sleeping, entertainment</t>
  </si>
  <si>
    <t>Define which of the bodhipakkhiyadhamma you wish to develop in the upcoming period e.g. equanimity, and daily/weekly/monthly rate your level on a scale from 1-10</t>
  </si>
  <si>
    <t xml:space="preserve">Define ultimate goals and rate your current state in relation to them:
- Unshakeable liberation of mind </t>
  </si>
  <si>
    <t xml:space="preserve">Define ultimate goals and rate your current state in relation to them:
- Overcoming any of the 10 fetters </t>
  </si>
  <si>
    <t>Score your level of inspiration: how am I motivated to meditate? If the inspiration level falls too low, identify why this is the case. Identify ways of remotivating oneself e.g. fulfilling my duties as a recipient of the dāna.</t>
  </si>
  <si>
    <t xml:space="preserve">Score the current level of sensitivity of mindfulness to subtle phenomena, and how the mind reacts to them. </t>
  </si>
  <si>
    <t>P.</t>
  </si>
  <si>
    <t>See the needs of the mind in the present moment and adapt accordingly in relation to the goal e.g. antidote to hindrances</t>
  </si>
  <si>
    <t xml:space="preserve">Use a mental device for putting aside distracting ideas/emotions such as an “Energy Conversion Box” that converts negative emotions to positive emotions </t>
  </si>
  <si>
    <t>Work with an object that the mind does not fight against</t>
  </si>
  <si>
    <t xml:space="preserve">Write down the obsessive ideas that arose in meditation, and follow up on them afterwards, so that the mind is willing to drop the idea in meditation. </t>
  </si>
  <si>
    <t>Delineate a negative emotion/knot triggered by a precise occurrence that you would like to understand/untangle, and then reflect about it in terms of the 4 noble truths</t>
  </si>
  <si>
    <t>Immediately Before Meditation
PHYSICAL ADJUSTMENTS
Adjust the brightness of the light in the room in relation to the degree of drowsiness.</t>
  </si>
  <si>
    <t>Immediately Before Meditation
PHYSICAL ADJUSTMENTS
Put the phone on silent/airplane mode AND out of hatthapasa in order not to be tempted to grasp it during the meditation</t>
  </si>
  <si>
    <t>Immediately Before Meditation
PHYSICAL ADJUSTMENTS
Avoid activities that strongly engage the thinking mind (like having a call with your dad, or doing some intense Pāli project…)</t>
  </si>
  <si>
    <t>Immediately Before Meditation
PHYSICAL ADJUSTMENTS
Set your seat with necessary comfort (cushions…) so that you are not disturbed by pain during the session</t>
  </si>
  <si>
    <t>Immediately Before Meditation
PHYSICAL ADJUSTMENTS
Avoid tight clothes. They should be loose and comfortable.</t>
  </si>
  <si>
    <t>Immediately Before Meditation
PHYSICAL ADJUSTMENTS
Gently place both palms on one’s lap or on the knees or other body parts.</t>
  </si>
  <si>
    <t>Immediately Before Meditation
PHYSICAL ADJUSTMENTS
If one feels tired and sleepy, it’d be advisable to try out taking a nap.</t>
  </si>
  <si>
    <t xml:space="preserve">Immediately Before Meditation
MENTAL ADJUSTMENTS
Structured meditation plan (mental map of the upcoming sit)
- Selecting a practice based on the environment, e.g. open awareness while travelling; anapanassati in your kuti.
</t>
  </si>
  <si>
    <t>Immediately Before Meditation
MENTAL ADJUSTMENTS
For recurrent thoughts, write down a to-think-later list to come back to at a later occasion.</t>
  </si>
  <si>
    <t>Immediately Before Meditation
MENTAL ADJUSTMENTS
Review and renew motivation for practice with inspiring quotes or a pep talk; remember why you practice.</t>
  </si>
  <si>
    <t>Immediately Before Meditation
MENTAL ADJUSTMENTS
Be clear about the purpose of that particular meditation session.</t>
  </si>
  <si>
    <t>Immediately Before Meditation
MENTAL ADJUSTMENTS
Consider making strong resolutions for periods of intense undistracted focus.</t>
  </si>
  <si>
    <t>During Meditation
At the beginning of the sitting, make a mental determination to use your time as best as you can
- By putting aside any sticky, past &amp; future thoughts</t>
  </si>
  <si>
    <t>During Meditation
Adjust the posture according to circumstances (straight back helps focus and prevents sleepiness, do walking meditation if agitation or lust is present…)</t>
  </si>
  <si>
    <t>During Meditation
Breathe a bit more strongly / hold your breath / breathe less / tranquilizing the breath</t>
  </si>
  <si>
    <t>During Meditation
Note when the meditation is out of momentum and no longer effective (quality over quantity) and stop meditating or take a break at that time</t>
  </si>
  <si>
    <t>During Meditation
Use a timer set at short intervals to remind one to be mindful</t>
  </si>
  <si>
    <t>During Meditation
Take short breaks when necessary (water, posture adjustment, bathroom)</t>
  </si>
  <si>
    <t xml:space="preserve">During Meditation
Be aware of the present moment; even when contemplating the past, one knows one is contemplating at the present moment. </t>
  </si>
  <si>
    <t xml:space="preserve">Attitudes
Maintain a positive outlook no matter if our results match our expectations or not
</t>
  </si>
  <si>
    <t xml:space="preserve">Periodically check to see changes during meditation 
Thoughts
1. quantity
2. wholesomeness
3. duration
4. gap between thoughts
</t>
  </si>
  <si>
    <t xml:space="preserve">Periodically check to see changes during meditation 
Energy level
1. Nodding 3 times may indicate strong drowsiness 
2. How effortful is it to stay attentive to object? Measure the duration and intensity of effort during meditation time.
</t>
  </si>
  <si>
    <t xml:space="preserve">Periodically check to see changes during meditation 
Measure how long does the mind stay in the discomfort zone
</t>
  </si>
  <si>
    <t xml:space="preserve">Periodically check to see changes during meditation 
Flexibility towards methods–posture, meditation approach, etc. 
</t>
  </si>
  <si>
    <t xml:space="preserve">Periodically check to see changes during meditation 
Willingness to try out different aspects of meditation and figure out one that suits oneself.
</t>
  </si>
  <si>
    <t xml:space="preserve">Periodically check to see changes during meditation 
When a challenge or difficult decision needs to be made, reflect on what the Buddha might advise 
</t>
  </si>
  <si>
    <t xml:space="preserve">After Meditation
Was the body comfortable?
</t>
  </si>
  <si>
    <t xml:space="preserve">After Meditation
number of times that one successfully returned to the meditation object this session
</t>
  </si>
  <si>
    <t xml:space="preserve">After Meditation
Check the quality of the mind before, during and after meditation. Has there been any change in certain qualities one wishes to train?
</t>
  </si>
  <si>
    <t xml:space="preserve">After Meditation
How long does the effect of a practice last after a session? - Mindfulness, loving kindness, dispassion with the body or being free of lust according to Asubha…
</t>
  </si>
  <si>
    <t xml:space="preserve">After Meditation
Do a post-meditation checklist of important qualities (sukha, piti, upekkha, presence of wholesome or unwholesome states, pleasant, unpleasant or neutral feelings)
</t>
  </si>
  <si>
    <t xml:space="preserve">After Meditation
Does this meditation session make me more willing and interested to meditate more in the future?
</t>
  </si>
  <si>
    <t xml:space="preserve">Daily life
How is the level of faith eg. while bowing
</t>
  </si>
  <si>
    <t xml:space="preserve">Daily life
How often does anger come up when one has practised mettā, samatha, mindfulness
</t>
  </si>
  <si>
    <t xml:space="preserve">Daily life
Baseline state of mind eg. wholesome or unwholesome
1. Overall kindness, openness, and lessening sense of self are markers of improvement
2. Compared to my previous development, do I get over troubles more quickly and with less difficulty
</t>
  </si>
  <si>
    <t xml:space="preserve">Daily life
A mind that delights in non-proliferation can be used as a marker for positive feedback
</t>
  </si>
  <si>
    <t xml:space="preserve">Daily life
sense of confidence and independence in meditation is a sign of improvement
</t>
  </si>
  <si>
    <t xml:space="preserve">How to monitor long-term results
Is one’s depth of understanding kusala and akusala deepening
</t>
  </si>
  <si>
    <t xml:space="preserve">How to monitor long-term results
When we are aware of our own mind (cittānupassana) and see if kusala is increasing and akusala is decreasing
</t>
  </si>
  <si>
    <t xml:space="preserve">How to monitor long-term results
See if mindfulness is increasing in conversation, eg. non-reactivity, etc.
</t>
  </si>
  <si>
    <t xml:space="preserve">How to monitor long-term results
relate to the future positively eg. resilience, optimism
</t>
  </si>
  <si>
    <t xml:space="preserve">Practical Advice and Examples
Alternate between contemplative effort and non-contemplative activities (like going for a relaxing walk or mending robes)
</t>
  </si>
  <si>
    <t xml:space="preserve">Practical Advice and Examples
Make the periods of discomfort welcoming. This can be something like setting up your meditation spot before leaving the kuti so that it welcomes a supporting environment on your return.
</t>
  </si>
  <si>
    <t xml:space="preserve">Practical Advice and Examples
Clearly emphasize the end time of the session </t>
  </si>
  <si>
    <t>Practical Advice and Examples
Consider different scales of cycling e.g. minutely vs. hourly vs. daily vs. weekly, monthly etc.</t>
  </si>
  <si>
    <t xml:space="preserve">Principles and Attitude
When resting/taking breaks, engage with things that give energy and joy </t>
  </si>
  <si>
    <t>Principles and Attitude
Familiarize yourself with what it means when your store of energy is used up, and make sure to stop when you become aware of that feeling during the period of intense focused practice.</t>
  </si>
  <si>
    <t>Principles and Attitude
Be aware of what it feels like to be too complacent or too forceful, and use those as a signal to switch to another phase.</t>
  </si>
  <si>
    <t>Principles and Attitude
Use breaks as periods of refreshment rather than gratification. It’s not about punishment and reward, but about using energy wisely.</t>
  </si>
  <si>
    <t>Principles and Attitude
Reward oneself with something wholesome and pleasant if one is able to maintain the focus for a defined duration</t>
  </si>
  <si>
    <t>Principles and Attitude
Use the experience of the discomfort cycle as an opportunity to grow.</t>
  </si>
  <si>
    <t>Practice
Alternate between different postures of meditation, both comfortable and uncomfortable. For example; sitting meditation followed by walking meditation. The purpose is to develop versatility in mindfulness and concentration.</t>
  </si>
  <si>
    <t>Practice
After serious intense meditation, reward yourself with something more relaxing. Lying down, cleaning kuti, reading, planning future projects, walking, swimming, watching Dhamma related documentaries are some examples.</t>
  </si>
  <si>
    <t xml:space="preserve">Practice
Regularly push beyond one’s limit by trying to achieve a longer quality-meditation period. </t>
  </si>
  <si>
    <t>Practice
Avoid doing the same practice in a more habitual way, but instead change to a different meditation object.</t>
  </si>
  <si>
    <t>Practice
Consider cycling between staying in a kuti, and staying in a cave or new environment which is less comfortable. Or cycling between sitting/walking meditation inside vs.  outside.</t>
  </si>
  <si>
    <t>Practice
Meditating in solitude for comfort vs. meditating in a communal space for discomfort or vice versa.</t>
  </si>
  <si>
    <t>Practice
Usual amount of social interaction (subjective to you) for comfort vs. reduced/increased amount of social interaction for discomfort.</t>
  </si>
  <si>
    <t>Practice
Usual amount of food for comfort vs. less than usual amount of food for discomfort while not going too extreme.</t>
  </si>
  <si>
    <t>Finding or changing teacher
A teacher should function as a living example and an inspiring role model of successful spiritual practice</t>
  </si>
  <si>
    <t>Finding or changing teacher
find a teacher who is a good fit
- In the beginning, the foremost expert teacher might not be necessary.
- As we progress in our skill level, a more expert teacher becomes increasingly important</t>
  </si>
  <si>
    <t>Finding or changing teacher
Do they have what you want to develop? What do you lack?</t>
  </si>
  <si>
    <t>Finding or changing teacher
What is the success rate of their students?</t>
  </si>
  <si>
    <t>Finding or changing teacher
Having evaluated the difficulties one has had with a previous teacher, choose a teacher with more compatible qualities next time.</t>
  </si>
  <si>
    <t>The Role of Expert Coaching in Dhamma-Meditation Practice Helps to:
Develop a relationship
- Raises expectations and gradually increases the challenges in the practice
- Helps students to become independent and self-reliant</t>
  </si>
  <si>
    <t>Passing on Mental Representations
An expert coach should know for themselves what different aspects of meditation looks or feels like</t>
  </si>
  <si>
    <t>Passing on Mental Representations
This may be conveyed with similes that highlight the most important features</t>
  </si>
  <si>
    <t>Passing on Mental Representations
Ideally the essential parts of the representations will be emphasized while the inessential parts are recognized as such</t>
  </si>
  <si>
    <t>Passing on Mental Representations
A great teacher will also be able to guide the students in the direction of finding their own sufficient mental representations without necessarily trying to copy the teacher’s</t>
  </si>
  <si>
    <t xml:space="preserve">Promoting a Conducive Learning Environment
A great teacher/coach is not only someone who pours knowledge into students’ heads, but is also one who provides an environment where students are able to learn for themselves. </t>
  </si>
  <si>
    <t xml:space="preserve">Promoting a Conducive Learning Environment
Keeping up beneficial group morale </t>
  </si>
  <si>
    <t xml:space="preserve">Promoting a Conducive Learning Environment
Promote self-accountability (hirottappa) </t>
  </si>
  <si>
    <t>Promoting a Conducive Learning Environment
Encouraging a simple and aloof life close to nature</t>
  </si>
  <si>
    <t>Teachers with these qualities can be considered an expert coach
Pointing to co-monastics as a source of friendship, motivation, conversation, and inspiration, to ensure that one is staying on the right path</t>
  </si>
  <si>
    <t>Teachers with these qualities can be considered an expert coach
Flexibility and ability to change various meditation techniques for producing fast optimal results. Adaptivity to current needs of the student.</t>
  </si>
  <si>
    <t>Teachers with these qualities can be considered an expert coach
A teacher neither involves himself nor his students in too many projects, and makes sure they stay on track with their meditation</t>
  </si>
  <si>
    <t>Teachers with these qualities can be considered an expert coach
Making himself available and accessible to his students.</t>
  </si>
  <si>
    <t>Aside from the Teacher
Meditation apps can provide important tips and reminders and one can select on a meditation theme conducive to one’s needs</t>
  </si>
  <si>
    <t>Aside from the Teacher
Physical &amp; Virtual communities can help to straighten out some misunderstandings (or increase them)</t>
  </si>
  <si>
    <t>Aside from the Teacher
Your enemy or “cold friend” can be your best teacher: they’ll give you a very clear feedback when you are out of track or being unskillful in speech.</t>
  </si>
  <si>
    <t>Aside from the Teacher
Ask for feedback or observations about your meditation posture from other meditators.</t>
  </si>
  <si>
    <t>Aside from the Teacher
A person who knows you very well and points out your defilements.</t>
  </si>
  <si>
    <t>Immediately Before Meditation
MENTAL ADJUSTMENTS
Structured meditation plan (mental map of the upcoming sit)
- Be prepared how to handle different distractions.</t>
  </si>
  <si>
    <t>Immediately Before Meditation
MENTAL ADJUSTMENTS
Structured meditation plan (mental map of the upcoming sit)
- Bring some diversity in the practice to avoid monotony, which may lead to loss of focus or interest.</t>
  </si>
  <si>
    <t xml:space="preserve">During Meditation
At the beginning of the sitting, make a mental determination to use your time as best as you can
- When a “great” idea arises during meditation, make a mental note to think about it later instead of during the session </t>
  </si>
  <si>
    <t>Total votes:</t>
  </si>
  <si>
    <t>Scheduling the meditation periods throughout the day and sticking to that schedule (in order to increase the chances to set some time aside for meditation on a daily basis). - not meditating directly after eating - meditate with someone in front of you, o</t>
  </si>
  <si>
    <t xml:space="preserve">If resentment has arisen, it has a reason.
If you can take an action (i.e. go to someone) to clear that resentment before the meditation it is good. If not, try to clear that resentment at the beginning of the meditation with a practice designed for that </t>
  </si>
  <si>
    <t>Have proper sleep i.e. Know your sleep-cycles and don’t force yourself to wake up when you are in deep sleep. Better to get complete sleep cycles (5 times 1.5 hours =7.5 hours), rather than incomplete cycles (eg. 5.5 times 1.5 hours = 8 hours 15 mins). (O</t>
  </si>
  <si>
    <t>In case of possible unresolved issues, consider self-reconciliation or analysis, e.g. unresolved issues with loved ones, family members, oneself, unfinished chores, etc. Find a real solution or conclusive temporary reconciliation to each of the plaguing i</t>
  </si>
  <si>
    <t>Immediately Before Meditation
PHYSICAL ADJUSTMENTS
Suitable location-a secluded/clean/quiet location conducive for meditation. Try out different spots and choose a location that a person finds easy and comfortable to calm himself down and sit for long hou</t>
  </si>
  <si>
    <t>Immediately Before Meditation
PHYSICAL ADJUSTMENTS
Suitable sitting posture: cross-legged/full lotus/semi lotus or any other postures that allow a relaxed and comfortable sitting. It is important to make an effort to figure out a conducive posture that wo</t>
  </si>
  <si>
    <t xml:space="preserve">Immediately Before Meditation
PHYSICAL ADJUSTMENTS
Upright body with erected head and neck - find ways that allow oneself to sit upright, which means each one of the backbones sit horizontally on top of each other without straining from either forward or </t>
  </si>
  <si>
    <t>Immediately Before Meditation
MENTAL ADJUSTMENTS
Find a tool that helps to settle the mind quickly e.g. qigong, recitation &amp; breathing, a shower, self-massage; relaxing one’s body from head to toe. Apply any allowable technique that might help to relax on</t>
  </si>
  <si>
    <t>During Meditation
Try to overcome, but don’t be disturbed by wandering thoughts. Develop different skills to handle different types of wandering thoughts. E.g. counting methods, or a reconciliatory/persuasive approach with emerging thoughts. The former on</t>
  </si>
  <si>
    <t>Periodically check to see changes during meditation 
Bodily measurements to see how the meditation is going:
1. Is the breath calming
2. increase or decrease in tension
3. tracking heart rate
4. Checking of posture: chin tucked or not, slouching or strai</t>
  </si>
  <si>
    <t xml:space="preserve">Periodically check to see changes during meditation 
Texture of the mind
1. Clear or dull (not to confuse dullness with samadhi)
2. contracted or expanded (could use clarification)
3. stuck or flowing
4. wholesome or unwholesome
5. Hindrances: when using </t>
  </si>
  <si>
    <t>After Meditation
keep notes in a journal to see if there is an overall improvement. 
1. strengths of e.g. piti-sukha on a scale, 
2. number and quality of insights, etc.
3. the energy level 
4. Type of 5 hindrances (or other quality that we want to reduce</t>
  </si>
  <si>
    <t>Daily life
Review weekly or monthly and evaluate the correlation between quality of our meditation and  
1. daily activities, 
2. exercise, 
3. coffee, 
4. family interactions,
5. social interactions, 
6. sleep and naps,  
7. breathwork
8. nocturnal emis</t>
  </si>
  <si>
    <t xml:space="preserve">Practical Advice and Examples
When cycling between comfort and discomfort, changing environments as a signal can help create a mental representation of “the place where I am at peace” (walking in nature) and “the place where I do my best work” (classroom </t>
  </si>
  <si>
    <t>Practice
Insert various short breaks between a formal meditation period to keep it fresh. Instead of a full 2 hour meditation session, one can have several 25 minute sessions, with 5 minute breaks. During the 5-minute break, the meditator remains on the s</t>
  </si>
  <si>
    <t>The Role of Expert Coaching in Dhamma-Meditation Practice Helps to:
Establish appropriate student/teacher relationship 
- Evaluate the student’s place on the path
-  Identify compatibility between teacher and student
- Understand the student’s feelings, w</t>
  </si>
  <si>
    <t xml:space="preserve">The Role of Expert Coaching in Dhamma-Meditation Practice Helps to:
Maintain the relationship
- Keep balance between respect and friendliness
- Provide conducive material and spiritual conditions for the practice (in the right time and measure)
- Provide </t>
  </si>
  <si>
    <t>Passing on Mental Representations
Specify the definition of “good / desirable meditation” (mental representation) so one can compare their actual performance with the desired performance after meditation, and then give a score. Update the scoring system a</t>
  </si>
  <si>
    <t>Promoting a Conducive Learning Environment
A teacher very skilled in this area would have a good idea not only of the strengths and weaknesses of their students but also how to arrange them by recognizing who works well together, or not, those who complem</t>
  </si>
  <si>
    <t>Teachers with these qualities can be considered an expert coach
Allowing and recommending a secondary teacher (who can complement the main teacher) can help focusing on a specific skill (Jhāna, Vipassana etc….) for a shorter period of time (ex. like medit</t>
  </si>
  <si>
    <t>Immediately Before Meditation
MENTAL ADJUSTMENTS
Structured meditation plan (mental map of the upcoming sit)
- Suitable and specific time - choose and allocate a fixed time slot conducive for meditation and stick to it. It may develop into a habit and men</t>
  </si>
  <si>
    <t>Immediately Before Meditation
MENTAL ADJUSTMENTS
Structured meditation plan (mental map of the upcoming sit)
- Divide the session into several smaller chunks with different durations and targets (e.g. gratitude first for 10 minutes, then samatha for 20 mi</t>
  </si>
  <si>
    <t xml:space="preserve">Immediately Before Meditation
MENTAL ADJUSTMENTS
Structured meditation plan (mental map of the upcoming sit)
- Start the meditation session with a short period of metta practice, which has been shown to be extremely useful to rapidly relax physically and </t>
  </si>
  <si>
    <t>I.</t>
  </si>
  <si>
    <t>E</t>
  </si>
  <si>
    <t>C.</t>
  </si>
  <si>
    <t>How was my energy level today?</t>
  </si>
  <si>
    <t>How much chocolate did I consume?</t>
  </si>
  <si>
    <t>Immediately Before Meditation
MENTAL ADJUSTMENTS
Structured meditation plan (mental map of the upcoming sit)
- Suitable and specific time - choose and allocate a fixed time slot conducive for meditation and stick to it.</t>
  </si>
  <si>
    <t>Daily life
keep notes in a journal to see if there is an overall improvement. 
1. strengths of e.g. piti-sukha on a scale, 
2. number and quality of insights, etc.
3. the energy level 
4. Type of 5 hindrances (or other quality that we want to reduce</t>
  </si>
  <si>
    <t>Practice
Insert various short breaks between a formal meditation period to keep it fresh. Instead of a full 2 hour meditation session, one can have several 25 minute sessions, with 5 minute breaks. During the 5-minute break, the meditator remains on the same seat but can engage in any other forms of meditation or wholesome activities such as open awareness meditation, dhamma contemplation, etc.</t>
  </si>
  <si>
    <t>Practical Advice and Examples
When cycling between comfort and discomfort, changing environments as a signal can help create a mental representation of “the place where I am at peace” (walking in nature) and “the place where I do my best work” (classroom on Fridays at 9:30)</t>
  </si>
  <si>
    <t>Passing on Mental Representations
Specify the definition of “good / desirable meditation” (mental representation) so one can compare their actual performance with the desired performance after meditation, and then give a score. Update the scoring system as practice progresses.</t>
  </si>
  <si>
    <t>Select a practice based on the environment (e.g., open awareness while traveling, anapanassati in your kuti).</t>
  </si>
  <si>
    <t>Be clear about the purpose of the meditation session.</t>
  </si>
  <si>
    <t>Find a tool or technique that helps settle the mind quickly, such as qigong, recitation and breathing, taking a shower, or self-massage. Relax your body from head to toe. Apply any allowable technique that might help you relax.</t>
  </si>
  <si>
    <t>Begin the session with a short period of metta (loving-kindness) practice to quickly relax both physically and mentally, especially relaxing the facial muscles.</t>
  </si>
  <si>
    <t>Choose a meditation object that the mind does not resist.</t>
  </si>
  <si>
    <t>Put your phone on silent or airplane mode and place it out of reach to avoid the temptation of using it during the session.</t>
  </si>
  <si>
    <t>If resentment has arisen, acknowledge the reason. If possible, take action to clear it before the session, such as addressing it with the person involved. If this is not possible, try to resolve it within the meditation using a specific practice designed for that purpose.</t>
  </si>
  <si>
    <t>If recurrent thoughts arise, write them down in a "to-think-later" list so you can come back to them after the session.</t>
  </si>
  <si>
    <t>Wear loose and comfortable clothes to prevent discomfort during meditation.</t>
  </si>
  <si>
    <t>Consider any unresolved issues with loved ones, family, or yourself. Take steps to find a real solution or a temporary resolution to these issues before meditation, as they may arise during the practice.</t>
  </si>
  <si>
    <t>Consider making firm resolutions for periods of intense, undistracted focus during your practice.</t>
  </si>
  <si>
    <t>Identify any negative emotions or mental knots triggered by specific occurrences, and reflect on them in terms of the Four Noble Truths.</t>
  </si>
  <si>
    <t>Consider how quickly you can enter a state of meditation and settle the mind with the chosen meditation object.</t>
  </si>
  <si>
    <r>
      <t xml:space="preserve">Identify which of the </t>
    </r>
    <r>
      <rPr>
        <i/>
        <sz val="10"/>
        <color rgb="FF000000"/>
        <rFont val="Arial"/>
        <family val="2"/>
        <scheme val="minor"/>
      </rPr>
      <t>Bodhipakkhiyadhamma</t>
    </r>
    <r>
      <rPr>
        <sz val="10"/>
        <color rgb="FF000000"/>
        <rFont val="Arial"/>
        <family val="2"/>
        <scheme val="minor"/>
      </rPr>
      <t xml:space="preserve"> (Factors of Enlightenment) you wish to develop during the upcoming period (e.g., equanimity), and assess your progress regularly on a scale from 1-10.</t>
    </r>
  </si>
  <si>
    <t>If you feel tired or sleepy, consider taking a short nap before resuming meditation.</t>
  </si>
  <si>
    <t>Rate the presence or absence of specific cravings (e.g., for food, sex, sleep, entertainment) before and during the meditation session.</t>
  </si>
  <si>
    <t>Find a secluded, clean, and quiet location conducive to meditation. Experiment with different spots to find one that helps you calm your mind and sit comfortably for long hours.</t>
  </si>
  <si>
    <t>Define a target for how long the mind should stay in a productive meditation zone or experience a state of well-being.</t>
  </si>
  <si>
    <t>Define a target level of relaxation (the higher, the better) or tension (the lower, the better) during meditation.</t>
  </si>
  <si>
    <t>Bring some diversity to your practice to avoid monotony, which can lead to a loss of focus or interest.</t>
  </si>
  <si>
    <t>Define how often and for how long it is acceptable for the mind to wander from the meditation object.</t>
  </si>
  <si>
    <t>Measure how long the mind stays on the object, either by the distance walked without distraction or by the time spent focused on the object.</t>
  </si>
  <si>
    <t>Adjust the lighting in the room according to your level of drowsiness.</t>
  </si>
  <si>
    <t>Score your current level of mindfulness sensitivity to subtle phenomena and how the mind reacts to them.</t>
  </si>
  <si>
    <t>Clearly emphasize the end time of the session to avoid distractions and ensure a smooth conclusion.</t>
  </si>
  <si>
    <t>Reflect on how quickly you can overcome negative states, hindrances, or let go of compulsive thoughts.</t>
  </si>
  <si>
    <t>Choose a fixed time slot for meditation that is conducive to your practice and stick to it.</t>
  </si>
  <si>
    <t>Be prepared how to handle different distractions.</t>
  </si>
  <si>
    <t>Define your ultimate meditation goals and assess your current state in relation to these goals (unshakable liberation of the mind).</t>
  </si>
  <si>
    <t>Define your ultimate meditation goals and assess your current state in relation to these goals (overcoming the ten fetters).</t>
  </si>
  <si>
    <r>
      <rPr>
        <i/>
        <sz val="10"/>
        <color theme="1"/>
        <rFont val="Arial"/>
        <family val="2"/>
        <scheme val="minor"/>
      </rPr>
      <t>Periodically check for changes during meditation:</t>
    </r>
    <r>
      <rPr>
        <sz val="10"/>
        <color theme="1"/>
        <rFont val="Arial"/>
        <family val="2"/>
        <scheme val="minor"/>
      </rPr>
      <t xml:space="preserve">
Texture of the Mind:
Clear or dull (not to be confused with dullness from samadhi)
Contracted or expanded (clarify as needed)
Stuck or flowing
Wholesome or unwholesome
Hindrances: Monitor the arising of hindrances during meditation </t>
    </r>
  </si>
  <si>
    <t>Observe the mind's current state and adjust your practice accordingly to address its needs (e.g., applying antidotes to hindrances).</t>
  </si>
  <si>
    <r>
      <rPr>
        <sz val="10"/>
        <color rgb="FF000000"/>
        <rFont val="Arial"/>
        <family val="2"/>
        <scheme val="minor"/>
      </rPr>
      <t>At the beginning of the session,</t>
    </r>
    <r>
      <rPr>
        <sz val="10"/>
        <color rgb="FF000000"/>
        <rFont val="Arial"/>
        <family val="2"/>
        <scheme val="minor"/>
      </rPr>
      <t xml:space="preserve"> make a mental determination to use your time wisely, putting aside any sticky thoughts related to the past or future.</t>
    </r>
  </si>
  <si>
    <t>Be aware of when you are too complacent or too forceful in your practice. Use these feelings as cues to adjust your approach or switch to a different phase of meditation.</t>
  </si>
  <si>
    <t>Regularly challenge yourself to extend your quality meditation periods, aiming for longer sessions of focused practice.</t>
  </si>
  <si>
    <r>
      <t xml:space="preserve">Periodically check for changes during meditation:
</t>
    </r>
    <r>
      <rPr>
        <sz val="10"/>
        <color theme="1"/>
        <rFont val="Arial"/>
        <family val="2"/>
        <scheme val="minor"/>
      </rPr>
      <t>Thoughts:
Quantity
Wholesomeness
Duration
Gaps between thoughts</t>
    </r>
  </si>
  <si>
    <t>Familiarize yourself with the signs that your energy is used up, and stop or take a break when you feel that depletion during intense focused practice.</t>
  </si>
  <si>
    <t>Be mindful and maintain equanimity toward any disturbances or wandering thoughts that arise during meditation.</t>
  </si>
  <si>
    <r>
      <t xml:space="preserve">Periodically check for changes during meditation:
</t>
    </r>
    <r>
      <rPr>
        <sz val="10"/>
        <color theme="1"/>
        <rFont val="Arial"/>
        <family val="2"/>
        <scheme val="minor"/>
      </rPr>
      <t>Energy Level:
Nodding three times may indicate strong drowsiness.
Measure how effortful it is to stay attentive to the object. Track the intensity and duration of effort during your practice.</t>
    </r>
  </si>
  <si>
    <t>Always be aware of the present moment, even when contemplating the past. Know that you are contemplating in the present.</t>
  </si>
  <si>
    <t>Use the discomfort cycle as an opportunity for growth in your practice, rather than avoiding or resisting it.</t>
  </si>
  <si>
    <r>
      <rPr>
        <i/>
        <sz val="10"/>
        <color theme="1"/>
        <rFont val="Arial"/>
        <family val="2"/>
        <scheme val="minor"/>
      </rPr>
      <t>Periodically check for changes during meditation:</t>
    </r>
    <r>
      <rPr>
        <sz val="10"/>
        <color theme="1"/>
        <rFont val="Arial"/>
        <family val="2"/>
        <scheme val="minor"/>
      </rPr>
      <t xml:space="preserve">
Decision-Making and Challenges:
When faced with a challenge or difficult decision during meditation, reflect on what the Buddha might advise.</t>
    </r>
  </si>
  <si>
    <t>Insert short breaks between formal meditation periods to keep the practice fresh. For example, instead of one continuous 2-hour session, you can have several 25-minute sessions with 5-minute breaks in between. During the break, you can stay seated and engage in activities such as open awareness meditation, Dhamma contemplation, etc.</t>
  </si>
  <si>
    <t>Set a timer at short intervals to remind yourself to stay mindful throughout the session.</t>
  </si>
  <si>
    <r>
      <rPr>
        <i/>
        <sz val="10"/>
        <color theme="1"/>
        <rFont val="Arial"/>
        <family val="2"/>
        <scheme val="minor"/>
      </rPr>
      <t>Periodically check for changes during meditation:</t>
    </r>
    <r>
      <rPr>
        <sz val="10"/>
        <color theme="1"/>
        <rFont val="Arial"/>
        <family val="2"/>
        <scheme val="minor"/>
      </rPr>
      <t xml:space="preserve">
Flexibility towards methods:
Remain flexible in your approach, adjusting posture, meditation techniques, and methods as needed.</t>
    </r>
  </si>
  <si>
    <r>
      <rPr>
        <i/>
        <sz val="10"/>
        <color theme="1"/>
        <rFont val="Arial"/>
        <family val="2"/>
        <scheme val="minor"/>
      </rPr>
      <t>Periodically check for changes during meditation:</t>
    </r>
    <r>
      <rPr>
        <sz val="10"/>
        <color theme="1"/>
        <rFont val="Arial"/>
        <family val="2"/>
        <scheme val="minor"/>
      </rPr>
      <t xml:space="preserve">
Duration in the discomfort zone:
Measure how long the mind stays in the discomfort zone and adjust accordingly.</t>
    </r>
  </si>
  <si>
    <t>Experiment with different breathing techniques, such as breathing more strongly, holding your breath, breathing less, or tranquilizing the breath, to support your practice.</t>
  </si>
  <si>
    <r>
      <rPr>
        <i/>
        <sz val="10"/>
        <color theme="1"/>
        <rFont val="Arial"/>
        <family val="2"/>
        <scheme val="minor"/>
      </rPr>
      <t>Periodically check for changes during meditation:</t>
    </r>
    <r>
      <rPr>
        <sz val="10"/>
        <color theme="1"/>
        <rFont val="Arial"/>
        <family val="2"/>
        <scheme val="minor"/>
      </rPr>
      <t xml:space="preserve">
Bodily measurements to assess meditation progress:
Is the breath calming?
Increase or decrease in physical tension?
Track heart rate and monitor its changes.
Check posture: Is the chin tucked? Are you slouching or sitting straight?</t>
    </r>
  </si>
  <si>
    <t>Assess the strength and stability of the jhana factors during the session. Evaluate your ability to maintain them throughout the practice.</t>
  </si>
  <si>
    <t>Before, during, and after meditation, check if there has been any change in the qualities you wish to develop (e.g., mindfulness, concentration, equanimity).</t>
  </si>
  <si>
    <t>How long does the effect of the practice last after the session? Consider the lingering effects on mindfulness, loving-kindness, dispassion towards the body, or freedom from lust (e.g., Asubha contemplation).</t>
  </si>
  <si>
    <t>Was the body comfortable during the meditation session? Assess whether physical discomfort impacted your practice.</t>
  </si>
  <si>
    <t>Does this meditation session increase your willingness and interest to meditate in the future? Consider the impact of the session on your motivation to continue practicing.</t>
  </si>
  <si>
    <t>After the session, conduct a post-meditation review of important qualities, such as sukha (pleasure), piti (joy), upekkha (equanimity), and the presence of wholesome or unwholesome states, as well as pleasant, unpleasant, or neutral feelings.</t>
  </si>
  <si>
    <t>Regardless of whether your results match expectations, maintain a positive outlook and focus on the process of training the mind.</t>
  </si>
  <si>
    <t>Record the number of times you successfully returned to the meditation object during the session. This can help gauge your ability to sustain focus.</t>
  </si>
  <si>
    <t>After a period of intense meditation, reward yourself with a relaxing activity to unwind. This could include lying down, cleaning your meditation space (kuti), reading, planning future projects, walking, swimming, or watching Dhamma-related documentaries.</t>
  </si>
  <si>
    <t>Define short-term and long-term meditation goals in terms of hours per day, week, year, and lifetime.</t>
  </si>
  <si>
    <t>How was my energy level this week?</t>
  </si>
  <si>
    <t>How was my energy level this months?</t>
  </si>
  <si>
    <t>Set your seat with necessary comfort (e.g., cushions) and choose a suitable sitting posture so that you are not disturbed by pain during the session.</t>
  </si>
  <si>
    <r>
      <rPr>
        <b/>
        <i/>
        <sz val="10"/>
        <color rgb="FF000000"/>
        <rFont val="Arial"/>
        <family val="2"/>
        <scheme val="minor"/>
      </rPr>
      <t>Repetition:</t>
    </r>
    <r>
      <rPr>
        <sz val="10"/>
        <color rgb="FF000000"/>
        <rFont val="Arial"/>
        <family val="2"/>
        <scheme val="minor"/>
      </rPr>
      <t>Set your seat with necessary comfort (e.g., cushions) so that you are not disturbed by pain during the session.</t>
    </r>
  </si>
  <si>
    <r>
      <rPr>
        <b/>
        <i/>
        <sz val="10"/>
        <color theme="1"/>
        <rFont val="Arial"/>
        <family val="2"/>
        <scheme val="minor"/>
      </rPr>
      <t>Repetition:</t>
    </r>
    <r>
      <rPr>
        <sz val="10"/>
        <color theme="1"/>
        <rFont val="Arial"/>
        <family val="2"/>
        <scheme val="minor"/>
      </rPr>
      <t xml:space="preserve"> Maintain an upright body with a straight head and neck. Each vertebra should align horizontally without strain, particularly after sitting for a long period. To achieve this, you may need to use supports/cushions of different thickness and hardness (especially for beginners), sit on the first third of the cushion, or imagine a rope extending vertically from the Baihui meridian point at the top of your head.</t>
    </r>
  </si>
  <si>
    <r>
      <rPr>
        <b/>
        <i/>
        <sz val="10"/>
        <color rgb="FF000000"/>
        <rFont val="Arial"/>
        <family val="2"/>
        <scheme val="minor"/>
      </rPr>
      <t>Repetition</t>
    </r>
    <r>
      <rPr>
        <sz val="10"/>
        <color rgb="FF000000"/>
        <rFont val="Arial"/>
        <family val="2"/>
        <scheme val="minor"/>
      </rPr>
      <t>: Review and renew your motivation with inspiring quotes or self-reflection. Remind yourself why you practice.</t>
    </r>
  </si>
  <si>
    <r>
      <rPr>
        <b/>
        <i/>
        <sz val="10"/>
        <color rgb="FF000000"/>
        <rFont val="Arial"/>
        <family val="2"/>
        <scheme val="minor"/>
      </rPr>
      <t>Repetition</t>
    </r>
    <r>
      <rPr>
        <sz val="10"/>
        <color rgb="FF000000"/>
        <rFont val="Arial"/>
        <family val="2"/>
        <scheme val="minor"/>
      </rPr>
      <t>: Score your current level of inspiration for meditation. If the level is low, identify the cause and find ways to re-motivate yourself, such as reminding yourself of your duties or the benefits of meditation.</t>
    </r>
  </si>
  <si>
    <r>
      <rPr>
        <b/>
        <i/>
        <sz val="10"/>
        <color rgb="FF000000"/>
        <rFont val="Arial"/>
        <family val="2"/>
        <scheme val="minor"/>
      </rPr>
      <t xml:space="preserve">Repetition: </t>
    </r>
    <r>
      <rPr>
        <sz val="10"/>
        <color rgb="FF000000"/>
        <rFont val="Arial"/>
        <family val="2"/>
        <scheme val="minor"/>
      </rPr>
      <t>Gently place both palms on your lap, knees, or other body parts in a comfortable and supportive position.</t>
    </r>
  </si>
  <si>
    <t>Divide the meditation session into smaller chunks with different durations and targets (e.g. 10 minutes of gratitude, followed by 20 minutes of samatha).</t>
  </si>
  <si>
    <r>
      <rPr>
        <b/>
        <i/>
        <sz val="10"/>
        <color rgb="FF000000"/>
        <rFont val="Arial"/>
        <family val="2"/>
        <scheme val="minor"/>
      </rPr>
      <t>Repetition:</t>
    </r>
    <r>
      <rPr>
        <sz val="10"/>
        <color rgb="FF000000"/>
        <rFont val="Arial"/>
        <family val="2"/>
        <scheme val="minor"/>
      </rPr>
      <t xml:space="preserve"> Write down obsessive ideas that arise during meditation and review them later. This helps the mind let go of these thoughts during meditation.</t>
    </r>
  </si>
  <si>
    <t>Try to overcome wandering thoughts without getting disturbed by them. Develop strategies to handle different types of distractions, such as counting methods, a reconciliatory approach with emerging thoughts or write down obsessive ideas that arise during meditation and review them later.</t>
  </si>
  <si>
    <r>
      <rPr>
        <b/>
        <i/>
        <sz val="10"/>
        <color rgb="FF000000"/>
        <rFont val="Arial"/>
        <family val="2"/>
        <scheme val="minor"/>
      </rPr>
      <t>Repetition</t>
    </r>
    <r>
      <rPr>
        <sz val="10"/>
        <color rgb="FF000000"/>
        <rFont val="Arial"/>
        <family val="2"/>
        <scheme val="minor"/>
      </rPr>
      <t>: Recognize when the meditation has lost its momentum and is no longer effective. When this happens, focus on quality rather than continuing for the sake of quantity. Take a break or stop the session.</t>
    </r>
  </si>
  <si>
    <r>
      <rPr>
        <b/>
        <i/>
        <sz val="10"/>
        <color rgb="FF000000"/>
        <rFont val="Arial"/>
        <family val="2"/>
        <scheme val="minor"/>
      </rPr>
      <t>Repetition</t>
    </r>
    <r>
      <rPr>
        <sz val="10"/>
        <color rgb="FF000000"/>
        <rFont val="Arial"/>
        <family val="2"/>
        <scheme val="minor"/>
      </rPr>
      <t>: Be open to experimenting with different meditation approaches and find what works best for you.</t>
    </r>
  </si>
  <si>
    <r>
      <rPr>
        <b/>
        <i/>
        <sz val="10"/>
        <color rgb="FF000000"/>
        <rFont val="Arial"/>
        <family val="2"/>
        <scheme val="minor"/>
      </rPr>
      <t>Repetition:</t>
    </r>
    <r>
      <rPr>
        <sz val="10"/>
        <color rgb="FF000000"/>
        <rFont val="Arial"/>
        <family val="2"/>
        <scheme val="minor"/>
      </rPr>
      <t xml:space="preserve"> Alternate between different meditation postures, both comfortable and uncomfortable (e.g., sitting meditation followed by walking meditation). This helps develop versatility in mindfulness and concentration.</t>
    </r>
  </si>
  <si>
    <r>
      <rPr>
        <b/>
        <i/>
        <sz val="10"/>
        <color rgb="FF000000"/>
        <rFont val="Arial"/>
        <family val="2"/>
        <scheme val="minor"/>
      </rPr>
      <t>Repetition</t>
    </r>
    <r>
      <rPr>
        <sz val="10"/>
        <color rgb="FF000000"/>
        <rFont val="Arial"/>
        <family val="2"/>
        <scheme val="minor"/>
      </rPr>
      <t>: Adjust your posture to suit the needs of the practice. For example, sitting upright helps maintain focus and prevent sleepiness, while walking meditation may be helpful when dealing with agitation or lust.</t>
    </r>
  </si>
  <si>
    <r>
      <rPr>
        <b/>
        <i/>
        <sz val="10"/>
        <color rgb="FF000000"/>
        <rFont val="Arial"/>
        <family val="2"/>
        <scheme val="minor"/>
      </rPr>
      <t>Repetition</t>
    </r>
    <r>
      <rPr>
        <sz val="10"/>
        <color rgb="FF000000"/>
        <rFont val="Arial"/>
        <family val="2"/>
        <scheme val="minor"/>
      </rPr>
      <t>: Start each session with the mental determination to use your time wisely. If a "great" idea arises during meditation, make a mental note to think about it later, rather than during the session itself.</t>
    </r>
  </si>
  <si>
    <r>
      <rPr>
        <b/>
        <i/>
        <sz val="10"/>
        <color rgb="FF000000"/>
        <rFont val="Arial"/>
        <family val="2"/>
        <scheme val="minor"/>
      </rPr>
      <t>Repetition</t>
    </r>
    <r>
      <rPr>
        <sz val="10"/>
        <color rgb="FF000000"/>
        <rFont val="Arial"/>
        <family val="2"/>
        <scheme val="minor"/>
      </rPr>
      <t>: Take necessary breaks for hydration, posture adjustment, or bathroom visits without interrupting your focus.</t>
    </r>
  </si>
  <si>
    <r>
      <rPr>
        <b/>
        <i/>
        <sz val="10"/>
        <color theme="1"/>
        <rFont val="Arial"/>
        <family val="2"/>
        <scheme val="minor"/>
      </rPr>
      <t>Repetition</t>
    </r>
    <r>
      <rPr>
        <sz val="10"/>
        <color theme="1"/>
        <rFont val="Arial"/>
        <family val="2"/>
        <scheme val="minor"/>
      </rPr>
      <t>: Use a mental device, such as an "Energy Conversion Box," to put aside distracting thoughts or emotions. This technique can help transform negative emotions into positive ones during meditation.</t>
    </r>
  </si>
  <si>
    <r>
      <rPr>
        <b/>
        <i/>
        <sz val="10"/>
        <color rgb="FF000000"/>
        <rFont val="Arial"/>
        <family val="2"/>
        <scheme val="minor"/>
      </rPr>
      <t>Repetition</t>
    </r>
    <r>
      <rPr>
        <sz val="10"/>
        <color rgb="FF000000"/>
        <rFont val="Arial"/>
        <family val="2"/>
        <scheme val="minor"/>
      </rPr>
      <t>: Avoid performing the same meditation practice in a mechanical or habitual way. Instead, vary the meditation object or approach to keep the practice fresh and engaging.</t>
    </r>
  </si>
  <si>
    <r>
      <rPr>
        <b/>
        <i/>
        <sz val="10"/>
        <color rgb="FF000000"/>
        <rFont val="Arial"/>
        <family val="2"/>
        <scheme val="minor"/>
      </rPr>
      <t>Repetition</t>
    </r>
    <r>
      <rPr>
        <sz val="10"/>
        <color rgb="FF000000"/>
        <rFont val="Arial"/>
        <family val="2"/>
        <scheme val="minor"/>
      </rPr>
      <t>: Reward yourself with something wholesome and pleasant if you were able to maintain focus for a defined duration. This helps reinforce positive behavior and encourages consistency in your practice.</t>
    </r>
  </si>
  <si>
    <t>Active</t>
  </si>
  <si>
    <t>Reserve</t>
  </si>
  <si>
    <t>Total voting score</t>
  </si>
  <si>
    <t>Active/Reserve</t>
  </si>
  <si>
    <t xml:space="preserve"> </t>
  </si>
  <si>
    <t>How many hours did I spend on meditation?</t>
  </si>
  <si>
    <t>MEDITATION TIPS</t>
  </si>
  <si>
    <r>
      <rPr>
        <i/>
        <sz val="10"/>
        <color theme="1"/>
        <rFont val="Arial"/>
        <family val="2"/>
        <scheme val="minor"/>
      </rPr>
      <t>Baseline State of Mind (e.g., wholesome or unwholesome):</t>
    </r>
    <r>
      <rPr>
        <sz val="10"/>
        <color theme="1"/>
        <rFont val="Arial"/>
        <family val="2"/>
        <scheme val="minor"/>
      </rPr>
      <t xml:space="preserve">
Overall kindness, openness, and a reduced sense of self are markers of improvement.</t>
    </r>
  </si>
  <si>
    <r>
      <rPr>
        <i/>
        <sz val="10"/>
        <color theme="1"/>
        <rFont val="Arial"/>
        <family val="2"/>
        <scheme val="minor"/>
      </rPr>
      <t>Baseline State of Mind (e.g., wholesome or unwholesome):</t>
    </r>
    <r>
      <rPr>
        <sz val="10"/>
        <color theme="1"/>
        <rFont val="Arial"/>
        <family val="2"/>
        <scheme val="minor"/>
      </rPr>
      <t xml:space="preserve">
Compared to my previous development, do I overcome challenges more quickly and with less difficulty?</t>
    </r>
  </si>
  <si>
    <t xml:space="preserve">Observe whether mindfulness is increasing in conversation (e.g., non-reactivity).
</t>
  </si>
  <si>
    <t xml:space="preserve">When aware of the mind (cittānupassana), assess if kusala (wholesome qualities) are increasing and akusala (unwholesome qualities) are decreasing.
</t>
  </si>
  <si>
    <t xml:space="preserve">A mind that delights in non-proliferation can be used as a marker for positive feedback.
</t>
  </si>
  <si>
    <t>Is one’s understanding of kusala and akusala deepening over time?</t>
  </si>
  <si>
    <t>Keep a journal to track overall improvement.
1. Rate the strengths (e.g., piti-sukha) on a scale.
2. Track the number and quality of insights.
3. Record energy levels.
4. Monitor the type and frequency of the five hindrances (or any other qualities you'd like to reduce).</t>
  </si>
  <si>
    <t>A growing sense of confidence and independence in meditation indicates progress.</t>
  </si>
  <si>
    <t>Monitor resilience and optimism.</t>
  </si>
  <si>
    <t>Ensure proper sleep by understanding your sleep cycles. It’s better to complete full sleep cycles (around 5 full cycles, each 1.5 hours) than to disrupt them (e.g., 5.5 cycles).</t>
  </si>
  <si>
    <t>Consider your usual level of social interaction for comfort versus experimenting with reduced or increased interaction to induce discomfort.</t>
  </si>
  <si>
    <t xml:space="preserve">How is the level of faith (e.g., while bowing)?
</t>
  </si>
  <si>
    <t xml:space="preserve">Alternate between contemplative effort and non-contemplative activities (e.g., taking a relaxing walk or mending robes).
</t>
  </si>
  <si>
    <t>When resting or taking breaks, engage in activities that replenish your energy and joy.</t>
  </si>
  <si>
    <t>Use breaks for refreshment, not just gratification. It's about wisely managing energy, not about punishment and reward.</t>
  </si>
  <si>
    <t>Avoid activities that strongly engage the thinking mind (e.g., calls with family or intense projects).</t>
  </si>
  <si>
    <t>Schedule meditation periods throughout the day and stick to the schedule to ensure daily meditation time.</t>
  </si>
  <si>
    <t>Avoid meditating directly after eating.</t>
  </si>
  <si>
    <t>Meditate with a partner or in a group for support.</t>
  </si>
  <si>
    <t>Choose realistic meditation durations that allow you to stay focused.</t>
  </si>
  <si>
    <t>Address unresolved issues (e.g., with loved ones, family, or yourself) before meditation. Find a real solution or temporary reconciliation for each unresolved matter. These issues can disrupt meditation if left unattended.</t>
  </si>
  <si>
    <t>Make periods of discomfort more welcoming. For example, set up your meditation spot in advance to ensure a supportive environment upon your return.</t>
  </si>
  <si>
    <t>Adjust food intake for comfort without going to extremes. Consider the balance between comfort and discomfort when altering your food habits.</t>
  </si>
  <si>
    <t>Experiment with different environments to symbolize “peaceful spaces” (e.g., walking in nature) and “productive spaces” (e.g., the classroom on Friday mornings).</t>
  </si>
  <si>
    <t>Cycle between comfort and discomfort on different scales (minutely, hourly, daily, weekly, or monthly).</t>
  </si>
  <si>
    <t>Score your ability to stick to the meditation schedule (1-10 scale). 1 = Unable to stick to the schedule, 10 = Perfect adherence to the schedule.</t>
  </si>
  <si>
    <t>Meditate in solitude for comfort or in a communal space for discomfort, depending on your current needs.</t>
  </si>
  <si>
    <t>Weekly or Monthly Evaluate Meditation Quality:
Daily Activities
Exercise
Coffee
Family Interactions
Social Interactions
Sleep and Naps
Breathwork
Nocturnal Emissions</t>
  </si>
  <si>
    <t>Choose a Bodhipakkhiyadhamma (e.g., Equanimity, Mindfulness, Energy, Concentration, etc.) you wish to develop further in your meditation.
Daily/weekly/monthly, rate your current level on a scale of 1-10.</t>
  </si>
  <si>
    <t>Define short-term (hours per day or week) and long-term (hours per year or lifetime) meditation goals.
These goals can be broken down into achievable milestones.</t>
  </si>
  <si>
    <t>Evaluate Weekly Energy: Assess your energy levels based on meditation practice and daily activities. Are you feeling more balanced or fatigued?
Keeping a daily or weekly log of energy levels can help you identify patterns.</t>
  </si>
  <si>
    <t>Track how much chocolate or other indulgent foods you consume?</t>
  </si>
  <si>
    <t>Evaluate Meditation Quality:
Daily Activities
Exercise
Coffee
Family Interactions
Social Interactions
Sleep and Naps
Breathwork
Nocturnal Emissions</t>
  </si>
  <si>
    <t>Immediately Before Meditation
PHYSICAL ADJUSTMENTS
Suitable sitting posture: cross-legged/full lotus/semi lotus or any other postures that allow a relaxed and comfortable sitting. It is important to make an effort to figure out a conducive posture that would minimize unnecessary strain or possible injuries in the long run.</t>
  </si>
  <si>
    <t>During Meditation
Try to overcome, but don’t be disturbed by wandering thoughts. Develop different skills to handle different types of wandering thoughts. E.g., counting methods, or a reconciliatory/persuasive approach with emerging thoughts. The former one would weaken and rid some random thoughts. The latter one might be particularly useful for unresolved issues, e.g. convince oneself that this might not be a suitable time for the thoughts and specific slots would be allocated for deliberation of the issues post meditation sessions. It’s like treating one’s mind as a child and making promises based on mutual trust leading to mental development.</t>
  </si>
  <si>
    <t>Immediately Before Meditation
MENTAL ADJUSTMENTS
Find a tool that helps to settle the mind quickly e.g. qigong, recitation &amp; breathing, a shower, self-massage; relaxing one’s body from head to toe. Apply any allowable technique that might help to relax oneself, e.g. mechanical relaxation method (relax, strain the respective section and then release), or mindful observation, etc. Minimize unnecessary strain due to incorrect posture which may affect the quality of the meditation.</t>
  </si>
  <si>
    <t>Immediately Before Meditation
PHYSICAL ADJUSTMENTS
Upright body with erected head and neck - find ways that allow oneself to sit upright, which means each one of the backbones sit horizontally on top of each other without straining from either forward or backward bending especially after sitting for a period of time. To achieve that, one may investigate (i) making use of supports/cushions of different kind, thickness, hardness, especially for beginners (ii) sitting at the first 1/3 portion of the cushions used (iii) imagine the head tied to a rope extending vertically upward at Baihui meridian point. The face should be facing horizontally forward etc.</t>
  </si>
  <si>
    <t>Immediately Before Meditation
MENTAL ADJUSTMENTS
Structured meditation plan (mental map of the upcoming sit):
Selecting a practice based on the environment, e.g. open awareness while travelling; anapanassati in your kuti.
Suitable and specific time - choose and allocate a fixed time slot conducive for meditation and stick to it. It may develop into a habit and mental conditioning. This may vary according to the individual and one should investigate and decide which time slot is the best for oneself. For example, one may possibly find it easier to concentrate after waking up in the morning while another person would find it more conducive to meditate in the afternoon. One should start with a shorter duration but frequently (quality over quantity), and then slowly expand the duration over time. 
Be prepared how to handle different distractions.
Divide the session into several smaller chunks with different durations and targets (e.g. gratitude first for 10 minutes, then samatha for 20 minutes, then vipassana for 30 minutes…)
Bring some diversity in the practice to avoid monotony, which may lead to loss of focus or interest.
Start the meditation session with a short period of metta practice, which has been shown to be extremely useful to rapidly relax physically and mentally; with relaxed facial muscles.</t>
  </si>
  <si>
    <t>If resentment has arisen, it has a reason.
If resentment has arisen, it has a reason.
If you can take an action (i.e. go to someone) to clear that resentment before the meditation it is good. If not, try to clear that resentment at the beginning of the meditation with a practice designed for that purpose (Forgiveness, NVC, TheWork…)</t>
  </si>
  <si>
    <t>Scheduling the meditation periods throughout the day and sticking to that schedule (in order to increase the chances to set some time aside for meditation on a daily basis).
not meditating directly after eating
meditate with someone in front of you, or in a group
Minimum time blocks ; can go longer
choose a realistic meditation duration where you can remain focused most of the time</t>
  </si>
  <si>
    <t>Have proper sleep i.e. Know your sleep-cycles and don’t force yourself to wake up when you are in deep sleep. Better to get  complete cycles (5 cycles) than incomplete cycles (eg. 5.5 cycles). (One cycle is about 1.5 hours)</t>
  </si>
  <si>
    <t>In case of possible unresolved issues, consider self-reconciliation or analysis, e.g., unresolved issues with love ones, family member, oneself, unfinished chores, etc. Find a real solution or conclusive temporary reconciliation to each of the plaguing issues. These issues, if left unattended, would invariably arise during meditation sessions.</t>
  </si>
  <si>
    <t>Immediately Before Meditation
PHYSICAL PHYSICAL ADJUSTMENTS
Suitable location-a secluded/clean/quiet location conducive for meditation. Try out different spots and choose a location that a person finds easy and comfortable to calm himself down and sit for long hours. The selected location should ideally have a proper air circulation and is slightly dimmed. If it is too dim, it encourages drowsiness. Conversely, it may cause tension.</t>
  </si>
  <si>
    <t>Immediately Before Meditation
MENTAL ADJUSTMENTS
Structured meditation plan (mental map of the upcoming sit)
- Divide the session into several smaller chunks with different durations and targets (e.g. gratitude first for 10 minutes, then samatha for 20 minutes, then vipassana for 30 minutes…)
Bring some diversity in the practice to avoid monotony, which may lead to loss of focus or interest.</t>
  </si>
  <si>
    <t>The Role of Expert Coaching in Dhamma-Meditation Practice Helps to:
Establish appropriate student/teacher relationship 
 Evaluate the student’s place on the path
 Identify compatibility between teacher and student
 Understand the student’s feelings, ways of thinking, needs, and requests
Identify, synchronize, and set goals together (defining and sequencing short term, mid-term, and long term goals)
In meditative practice it is important for the student to be honest and open in reporting their experiences
Find out what‘s the best way of connecting with the teacher on a personal level</t>
  </si>
  <si>
    <t>The Role of Expert Coaching in Dhamma-Meditation Practice Helps to:
Maintain the relationship
Keep balance between respect and friendliness
Provide conducive material and spiritual conditions for the practice (in the right time and measure)
Provide accurate mental representations of the right (and wrong) path of practice
Provide concrete instruction and advice (tools and methods to develop particular skills, while identifying and sorting unnecessary techniques)
Give and receive communication of effort, difficulties, results, and feedback (Skillfully and timely identify and correct mistakes, and point out blind-spots)
Know the measure of reward and punishment (e.g. skillfully praising effortful success, and using social pressure to admonish and encourage)
Having a permanent teacher over a longer period of time who gets to know his student strengths &amp; weaknesses in details and can provide accurate feedback and suitable meditation instructions</t>
  </si>
  <si>
    <t>Teachers with these qualities can be considered an expert coach
Allowing and recommending a secondary teacher (who can complement the main teacher) can help focusing on a specific skill (Jhāna, Vipassana etc….) for a shorter period of time (ex. like meditation retreats with meditation interviews)</t>
  </si>
  <si>
    <t xml:space="preserve">Promoting a Conducive Learning Environment
A teacher very skilled in this area would have a good idea not only of the strengths and weaknesses of their students but also how to arrange them by recognizing who works well together, or not, those who complement each other, etc. Thus producing an environment that generates the best results. </t>
  </si>
  <si>
    <r>
      <rPr>
        <b/>
        <i/>
        <u/>
        <sz val="10"/>
        <color rgb="FF000000"/>
        <rFont val="Arial"/>
        <family val="2"/>
        <scheme val="minor"/>
      </rPr>
      <t>S</t>
    </r>
    <r>
      <rPr>
        <b/>
        <i/>
        <sz val="10"/>
        <color rgb="FF000000"/>
        <rFont val="Arial"/>
        <family val="2"/>
        <scheme val="minor"/>
      </rPr>
      <t>PECIFIC TARGET FOR PERFORMANCE</t>
    </r>
    <r>
      <rPr>
        <sz val="10"/>
        <color rgb="FF000000"/>
        <rFont val="Arial"/>
        <family val="2"/>
        <scheme val="minor"/>
      </rPr>
      <t xml:space="preserve">
</t>
    </r>
    <r>
      <rPr>
        <i/>
        <sz val="10"/>
        <color rgb="FF000000"/>
        <rFont val="Arial"/>
        <family val="2"/>
        <scheme val="minor"/>
      </rPr>
      <t>"Deliberate practice involves well-defined, specific goals and often involves improving some aspects of the target performance; it is not aimed at some vague overall improvement"</t>
    </r>
    <r>
      <rPr>
        <sz val="10"/>
        <color rgb="FF000000"/>
        <rFont val="Arial"/>
        <family val="2"/>
        <scheme val="minor"/>
      </rPr>
      <t xml:space="preserve"> - Anders Ericsson
If you have vague performance targets like 'get better' or 'succeed', you're simply wasting your time. To improve performance, you need specific performance goals.
Steve Faloon was able to recite 82 digits by having clear goals the entire way. If he could successfully recite 39 digits, his sole focus was getting to 40 digits.</t>
    </r>
  </si>
  <si>
    <r>
      <rPr>
        <b/>
        <i/>
        <u/>
        <sz val="10"/>
        <color rgb="FF000000"/>
        <rFont val="Arial"/>
        <family val="2"/>
        <scheme val="minor"/>
      </rPr>
      <t>P</t>
    </r>
    <r>
      <rPr>
        <b/>
        <i/>
        <sz val="10"/>
        <color rgb="FF000000"/>
        <rFont val="Arial"/>
        <family val="2"/>
        <scheme val="minor"/>
      </rPr>
      <t>ERIODS OF INTENSE UNDISTRACTED FOCUS</t>
    </r>
    <r>
      <rPr>
        <sz val="10"/>
        <color rgb="FF000000"/>
        <rFont val="Arial"/>
        <family val="2"/>
        <scheme val="minor"/>
      </rPr>
      <t xml:space="preserve"> </t>
    </r>
    <r>
      <rPr>
        <i/>
        <sz val="10"/>
        <color rgb="FF000000"/>
        <rFont val="Arial"/>
        <family val="2"/>
        <scheme val="minor"/>
      </rPr>
      <t xml:space="preserve">"Deliberate practice is deliberate, that is, it requires a person's full attention and conscious actions. You seldom improve much without giving the task your full attention. It isn't enough to simply follow a teacher's or coach's directions." </t>
    </r>
    <r>
      <rPr>
        <sz val="10"/>
        <color rgb="FF000000"/>
        <rFont val="Arial"/>
        <family val="2"/>
        <scheme val="minor"/>
      </rPr>
      <t>- Anders Ericsson
Before Steve attempted 39 digits, he gave himself an exciting pep talk ("you got this Steve!") before concentrating intently on numbers Anders gave him. For those 1-hour sessions all that mattered was hitting his targets.</t>
    </r>
  </si>
  <si>
    <r>
      <rPr>
        <b/>
        <i/>
        <u/>
        <sz val="10"/>
        <color rgb="FF000000"/>
        <rFont val="Arial"/>
        <family val="2"/>
        <scheme val="minor"/>
      </rPr>
      <t>I</t>
    </r>
    <r>
      <rPr>
        <b/>
        <i/>
        <sz val="10"/>
        <color rgb="FF000000"/>
        <rFont val="Arial"/>
        <family val="2"/>
        <scheme val="minor"/>
      </rPr>
      <t xml:space="preserve">MMEDIATE FEEDBACK                                       </t>
    </r>
    <r>
      <rPr>
        <i/>
        <sz val="10"/>
        <color rgb="FF000000"/>
        <rFont val="Arial"/>
        <family val="2"/>
        <scheme val="minor"/>
      </rPr>
      <t>"Without feedback - either from yourself or from outside observes - you cannot figure out what you need to improve on or how close you are to achieving your goals"</t>
    </r>
    <r>
      <rPr>
        <sz val="10"/>
        <color rgb="FF000000"/>
        <rFont val="Arial"/>
        <family val="2"/>
        <scheme val="minor"/>
      </rPr>
      <t xml:space="preserve"> - Anders Ericsson
To discover a mental representation that works, you'll need to test various mental representations during each practice. in order to verify if a representation is effective or not, you'll need to receive accurate and immediate feedback. The quicker the feedback, the faster you'll improve your mental representation.
Steve knew if his approach was working after each attempt. Imagine if he had to wait 10 minutes before knowing whether the last six attempts were correct...</t>
    </r>
  </si>
  <si>
    <r>
      <rPr>
        <b/>
        <i/>
        <u/>
        <sz val="10"/>
        <color rgb="FF000000"/>
        <rFont val="Arial"/>
        <family val="2"/>
        <scheme val="minor"/>
      </rPr>
      <t>C</t>
    </r>
    <r>
      <rPr>
        <b/>
        <i/>
        <sz val="10"/>
        <color rgb="FF000000"/>
        <rFont val="Arial"/>
        <family val="2"/>
        <scheme val="minor"/>
      </rPr>
      <t xml:space="preserve">YCLING BETWEEN COMFORT AND DISCOMFORT </t>
    </r>
    <r>
      <rPr>
        <sz val="10"/>
        <color rgb="FF000000"/>
        <rFont val="Arial"/>
        <family val="2"/>
        <scheme val="minor"/>
      </rPr>
      <t xml:space="preserve"> </t>
    </r>
    <r>
      <rPr>
        <i/>
        <sz val="10"/>
        <color rgb="FF000000"/>
        <rFont val="Arial"/>
        <family val="2"/>
        <scheme val="minor"/>
      </rPr>
      <t>"Deliberate practice takes place outside one's comfort zone and requires a student to constantly try things that are just beyond his or her current abilities. Thus, it demands near-maximal effort, which is generally not enjoyable"</t>
    </r>
    <r>
      <rPr>
        <sz val="10"/>
        <color rgb="FF000000"/>
        <rFont val="Arial"/>
        <family val="2"/>
        <scheme val="minor"/>
      </rPr>
      <t xml:space="preserve"> - Anders Ericsson
Discomfort is essential to improvement. Approach skill development the same way you approach physical training. Muscles need a period of discomfort (lifting wights just beyond one's ability) followed by a period of comfort (rest and recovery) in order to grow. Schedule periods of intense focused struggle between periods of rest. Improvement comes from a willingness to push yourself beyond your comfort zone and then getting adequate sleep to engrain the skill and generate insights (expert performers sleep an average of 8.5 hours at night).</t>
    </r>
  </si>
  <si>
    <r>
      <rPr>
        <b/>
        <i/>
        <u/>
        <sz val="10"/>
        <color rgb="FF202124"/>
        <rFont val="Arial"/>
        <family val="2"/>
        <scheme val="major"/>
      </rPr>
      <t>E</t>
    </r>
    <r>
      <rPr>
        <b/>
        <i/>
        <sz val="10"/>
        <color rgb="FF202124"/>
        <rFont val="Arial"/>
        <family val="2"/>
        <scheme val="major"/>
      </rPr>
      <t>XPERT COACHING</t>
    </r>
    <r>
      <rPr>
        <sz val="10"/>
        <color rgb="FF202124"/>
        <rFont val="Arial"/>
        <family val="2"/>
        <scheme val="major"/>
      </rPr>
      <t xml:space="preserve">                                                </t>
    </r>
    <r>
      <rPr>
        <i/>
        <sz val="10"/>
        <color rgb="FF202124"/>
        <rFont val="Arial"/>
        <family val="2"/>
        <scheme val="major"/>
      </rPr>
      <t>Expert coaches provide effective mental representations to jump start your progress. But expert coaching also heightens each aspect of the deliberate practice method:
Expert coaches ensure you stay on the right path (they know the path to excellence and intermediate goals to focus on)
Expert coaches add a layer of social pressure and raise the intensity of practice sessions
Expert coaches provide accurate and immediate feedback because they know exactly what to look for
Expert coaches push you when you don't feel like pushing yourself and they know when you're being pushed too hard</t>
    </r>
  </si>
  <si>
    <t>Date</t>
  </si>
  <si>
    <t>Posture</t>
  </si>
  <si>
    <t>Relaxation</t>
  </si>
  <si>
    <t>Awakening factors</t>
  </si>
  <si>
    <t>Notes</t>
  </si>
  <si>
    <t>stand</t>
  </si>
  <si>
    <t>walk</t>
  </si>
  <si>
    <t xml:space="preserve">Food </t>
  </si>
  <si>
    <t>Exercise (mins)</t>
  </si>
  <si>
    <t>sit</t>
  </si>
  <si>
    <t>Insights</t>
  </si>
  <si>
    <t xml:space="preserve">0 - none </t>
  </si>
  <si>
    <t xml:space="preserve">joy </t>
  </si>
  <si>
    <t>1 - very low</t>
  </si>
  <si>
    <t>rapture</t>
  </si>
  <si>
    <t>lay down</t>
  </si>
  <si>
    <t>3 - ok</t>
  </si>
  <si>
    <t>2 - low</t>
  </si>
  <si>
    <t>calm</t>
  </si>
  <si>
    <t>other</t>
  </si>
  <si>
    <t xml:space="preserve">3 - medium </t>
  </si>
  <si>
    <t>happiness</t>
  </si>
  <si>
    <t xml:space="preserve">4 - high </t>
  </si>
  <si>
    <t>samadhi</t>
  </si>
  <si>
    <t xml:space="preserve">5 - very high </t>
  </si>
  <si>
    <t>equanimity</t>
  </si>
  <si>
    <t xml:space="preserve">Reactivity </t>
  </si>
  <si>
    <t>Main cravings</t>
  </si>
  <si>
    <t>Motivation / confidence</t>
  </si>
  <si>
    <t>Kidness / opennes</t>
  </si>
  <si>
    <t>Meditation momentum</t>
  </si>
  <si>
    <t>Proliferation level</t>
  </si>
  <si>
    <t>Calm</t>
  </si>
  <si>
    <t>Skill level</t>
  </si>
  <si>
    <t>Pain level</t>
  </si>
  <si>
    <t>Energy Level after</t>
  </si>
  <si>
    <t xml:space="preserve">Time </t>
  </si>
  <si>
    <t>scales</t>
  </si>
  <si>
    <t xml:space="preserve">numbers </t>
  </si>
  <si>
    <t xml:space="preserve">Symbol </t>
  </si>
  <si>
    <t>Duration</t>
  </si>
  <si>
    <t xml:space="preserve">intensity </t>
  </si>
  <si>
    <t>Food</t>
  </si>
  <si>
    <t xml:space="preserve">absent </t>
  </si>
  <si>
    <t>none</t>
  </si>
  <si>
    <t>0 immediate</t>
  </si>
  <si>
    <t>- -</t>
  </si>
  <si>
    <t xml:space="preserve">very little </t>
  </si>
  <si>
    <t>Very weak</t>
  </si>
  <si>
    <t>1 very fast</t>
  </si>
  <si>
    <t>-</t>
  </si>
  <si>
    <t xml:space="preserve">moderate </t>
  </si>
  <si>
    <t xml:space="preserve">little </t>
  </si>
  <si>
    <t>Weak</t>
  </si>
  <si>
    <t>2 fast</t>
  </si>
  <si>
    <t>/</t>
  </si>
  <si>
    <t xml:space="preserve">medium </t>
  </si>
  <si>
    <t>3 ok</t>
  </si>
  <si>
    <t>+</t>
  </si>
  <si>
    <t xml:space="preserve">high </t>
  </si>
  <si>
    <t xml:space="preserve">Strong </t>
  </si>
  <si>
    <t>4 slow</t>
  </si>
  <si>
    <t>+ +</t>
  </si>
  <si>
    <t xml:space="preserve">total </t>
  </si>
  <si>
    <t>Overwhelm</t>
  </si>
  <si>
    <t>5 very slow</t>
  </si>
  <si>
    <t>sensuality</t>
  </si>
  <si>
    <t>ill will</t>
  </si>
  <si>
    <t>dullness</t>
  </si>
  <si>
    <t>restlesness</t>
  </si>
  <si>
    <t>doubt</t>
  </si>
  <si>
    <t>sensuality + ill will</t>
  </si>
  <si>
    <t>sensuality + dullness</t>
  </si>
  <si>
    <t>sensuality + restlesness</t>
  </si>
  <si>
    <t>sensuality + doubt</t>
  </si>
  <si>
    <t>ill will + dullness</t>
  </si>
  <si>
    <t>ill will + restlesness</t>
  </si>
  <si>
    <t>ill will + doubt</t>
  </si>
  <si>
    <t>dullness + restlesness</t>
  </si>
  <si>
    <t>dullness + doubt</t>
  </si>
  <si>
    <t>restlesness + doubt</t>
  </si>
  <si>
    <t>0 Fast</t>
  </si>
  <si>
    <t>1 hungry</t>
  </si>
  <si>
    <t>Inverse</t>
  </si>
  <si>
    <t>Samadhi</t>
  </si>
  <si>
    <t>1 jhana</t>
  </si>
  <si>
    <t>2 jhana</t>
  </si>
  <si>
    <t>3 jhana</t>
  </si>
  <si>
    <t>4 jhana</t>
  </si>
  <si>
    <t>5 space</t>
  </si>
  <si>
    <t xml:space="preserve">6 conciousness </t>
  </si>
  <si>
    <t>7 nothingness</t>
  </si>
  <si>
    <t xml:space="preserve">8 perception / nor </t>
  </si>
  <si>
    <t>9 cessation</t>
  </si>
  <si>
    <t>10 kindness</t>
  </si>
  <si>
    <t>0 not yet</t>
  </si>
  <si>
    <t>11 compassion</t>
  </si>
  <si>
    <t>12 rejoice</t>
  </si>
  <si>
    <t>13 equanimity</t>
  </si>
  <si>
    <t>14 imperturbability</t>
  </si>
  <si>
    <t>1 very short</t>
  </si>
  <si>
    <t>2 short</t>
  </si>
  <si>
    <t>4 long</t>
  </si>
  <si>
    <t>Wellbeing</t>
  </si>
  <si>
    <t>0 Sick</t>
  </si>
  <si>
    <t>1 - very bad</t>
  </si>
  <si>
    <t>2 - bad</t>
  </si>
  <si>
    <t>4 - well</t>
  </si>
  <si>
    <t>5 - great</t>
  </si>
  <si>
    <t>Time of day</t>
  </si>
  <si>
    <t>2 down</t>
  </si>
  <si>
    <t>1 pre down</t>
  </si>
  <si>
    <t>5 morning</t>
  </si>
  <si>
    <t>6 afternoon</t>
  </si>
  <si>
    <t>3 after breakfast</t>
  </si>
  <si>
    <t>4 morning</t>
  </si>
  <si>
    <t>Session satisfy</t>
  </si>
  <si>
    <t>2 perfect</t>
  </si>
  <si>
    <t>3 over eat</t>
  </si>
  <si>
    <t>Main distractions</t>
  </si>
  <si>
    <t>Gen</t>
  </si>
  <si>
    <t>Mins</t>
  </si>
  <si>
    <t>Meditation type</t>
  </si>
  <si>
    <t>Bad</t>
  </si>
  <si>
    <t>5 very long</t>
  </si>
  <si>
    <t>Good</t>
  </si>
  <si>
    <t>Pre</t>
  </si>
  <si>
    <t>Post</t>
  </si>
  <si>
    <t>Scale</t>
  </si>
  <si>
    <t>Durations</t>
  </si>
  <si>
    <t>Plan Duration</t>
  </si>
  <si>
    <t>Body part pain</t>
  </si>
  <si>
    <t xml:space="preserve">Frequency </t>
  </si>
  <si>
    <t xml:space="preserve">0 - absent </t>
  </si>
  <si>
    <t>1 - almost never</t>
  </si>
  <si>
    <t xml:space="preserve">2 - discontinue </t>
  </si>
  <si>
    <t xml:space="preserve">3 - frequent </t>
  </si>
  <si>
    <t xml:space="preserve">4 - very frequent </t>
  </si>
  <si>
    <t xml:space="preserve">5 - all the time </t>
  </si>
  <si>
    <t>Actual Duration</t>
  </si>
  <si>
    <t>Mindfulness</t>
  </si>
  <si>
    <t>Skill to develop</t>
  </si>
  <si>
    <t>Body</t>
  </si>
  <si>
    <t>Initial Wellbeing</t>
  </si>
  <si>
    <t xml:space="preserve">Initial Energy </t>
  </si>
  <si>
    <t>AfterWellbeing</t>
  </si>
  <si>
    <t>hh:mm</t>
  </si>
  <si>
    <t>Habits</t>
  </si>
  <si>
    <t>min</t>
  </si>
  <si>
    <t>hr</t>
  </si>
  <si>
    <t>Distractions type</t>
  </si>
  <si>
    <t>Distractions duration</t>
  </si>
  <si>
    <t>Distractions frequency</t>
  </si>
  <si>
    <t>Types</t>
  </si>
  <si>
    <t>Levels</t>
  </si>
  <si>
    <t>Object</t>
  </si>
  <si>
    <t>Talking</t>
  </si>
  <si>
    <t>Study</t>
  </si>
  <si>
    <t xml:space="preserve">Computer </t>
  </si>
  <si>
    <t xml:space="preserve">Sleep </t>
  </si>
  <si>
    <t>Text</t>
  </si>
  <si>
    <t xml:space="preserve">satipatana </t>
  </si>
  <si>
    <t xml:space="preserve">Metta </t>
  </si>
  <si>
    <t xml:space="preserve">lay down </t>
  </si>
  <si>
    <t>hips</t>
  </si>
  <si>
    <t xml:space="preserve">lower body </t>
  </si>
  <si>
    <t>all</t>
  </si>
  <si>
    <t xml:space="preserve">chest </t>
  </si>
  <si>
    <t xml:space="preserve">dullness </t>
  </si>
  <si>
    <t xml:space="preserve">energy </t>
  </si>
  <si>
    <t>Sleep</t>
  </si>
  <si>
    <t>start</t>
  </si>
  <si>
    <t>2</t>
  </si>
  <si>
    <t>dhammasense</t>
  </si>
  <si>
    <t>back</t>
  </si>
  <si>
    <t>dd/mm</t>
  </si>
  <si>
    <t xml:space="preserve">study = Patimokkha </t>
  </si>
  <si>
    <t>chest</t>
  </si>
  <si>
    <t xml:space="preserve">sightseeing </t>
  </si>
  <si>
    <t xml:space="preserve">sangha meeting lay behavior dangers </t>
  </si>
  <si>
    <t>dignidad</t>
  </si>
  <si>
    <t xml:space="preserve">support group, sauna, clean 3 translators </t>
  </si>
  <si>
    <t>3</t>
  </si>
  <si>
    <t xml:space="preserve">1st Patimokkha revision </t>
  </si>
  <si>
    <t xml:space="preserve">restlessness </t>
  </si>
  <si>
    <t xml:space="preserve">sleep </t>
  </si>
  <si>
    <t xml:space="preserve">walking </t>
  </si>
  <si>
    <t xml:space="preserve">shoulders </t>
  </si>
  <si>
    <t xml:space="preserve">sensuality </t>
  </si>
  <si>
    <t xml:space="preserve">Buddha </t>
  </si>
  <si>
    <t>joy</t>
  </si>
  <si>
    <t>vesak</t>
  </si>
  <si>
    <t>14/35</t>
  </si>
  <si>
    <t>ds</t>
  </si>
  <si>
    <t>Vesak</t>
  </si>
  <si>
    <t xml:space="preserve">wisdom </t>
  </si>
  <si>
    <t xml:space="preserve">Porn wrong views released </t>
  </si>
  <si>
    <t>se</t>
  </si>
  <si>
    <t>sen</t>
  </si>
  <si>
    <t xml:space="preserve">detach </t>
  </si>
  <si>
    <t>skill is detachments, I intoxicated with mana</t>
  </si>
  <si>
    <t>NP 20</t>
  </si>
  <si>
    <t xml:space="preserve">remorse </t>
  </si>
  <si>
    <t xml:space="preserve">teeth infection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</si>
</sst>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d/yyyy\ h:mm:ss"/>
    <numFmt numFmtId="165" formatCode="yyyy\-mm\-dd;@"/>
    <numFmt numFmtId="166" formatCode="m/d;@"/>
    <numFmt numFmtId="167" formatCode="h:mm;@"/>
    <numFmt numFmtId="168" formatCode="[$-809]dd\ mmmm\ yyyy;@"/>
  </numFmts>
  <fonts count="39"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theme="1"/>
      <name val="Arial"/>
      <family val="2"/>
      <scheme val="minor"/>
    </font>
    <font>
      <sz val="10"/>
      <color rgb="FF000000"/>
      <name val="Arial"/>
      <family val="2"/>
      <scheme val="minor"/>
    </font>
    <font>
      <i/>
      <sz val="10"/>
      <color theme="1"/>
      <name val="Arial"/>
      <family val="2"/>
      <scheme val="minor"/>
    </font>
    <font>
      <i/>
      <sz val="10"/>
      <color rgb="FF000000"/>
      <name val="Arial"/>
      <family val="2"/>
      <scheme val="minor"/>
    </font>
    <font>
      <b/>
      <i/>
      <sz val="10"/>
      <color rgb="FF000000"/>
      <name val="Arial"/>
      <family val="2"/>
      <scheme val="minor"/>
    </font>
    <font>
      <b/>
      <i/>
      <sz val="10"/>
      <color theme="1"/>
      <name val="Arial"/>
      <family val="2"/>
      <scheme val="minor"/>
    </font>
    <font>
      <sz val="10"/>
      <color theme="0"/>
      <name val="Arial"/>
      <family val="2"/>
      <scheme val="minor"/>
    </font>
    <font>
      <b/>
      <sz val="11"/>
      <color rgb="FF000000"/>
      <name val="Arial"/>
      <family val="2"/>
      <scheme val="minor"/>
    </font>
    <font>
      <b/>
      <sz val="12"/>
      <color theme="1"/>
      <name val="Arial"/>
      <family val="2"/>
      <scheme val="minor"/>
    </font>
    <font>
      <b/>
      <i/>
      <u/>
      <sz val="10"/>
      <color rgb="FF000000"/>
      <name val="Arial"/>
      <family val="2"/>
      <scheme val="minor"/>
    </font>
    <font>
      <b/>
      <u/>
      <sz val="10"/>
      <color rgb="FF202124"/>
      <name val="Arial"/>
      <family val="2"/>
      <scheme val="major"/>
    </font>
    <font>
      <sz val="10"/>
      <color rgb="FF202124"/>
      <name val="Arial"/>
      <family val="2"/>
      <scheme val="major"/>
    </font>
    <font>
      <b/>
      <i/>
      <u/>
      <sz val="10"/>
      <color rgb="FF202124"/>
      <name val="Arial"/>
      <family val="2"/>
      <scheme val="major"/>
    </font>
    <font>
      <i/>
      <sz val="10"/>
      <color rgb="FF202124"/>
      <name val="Arial"/>
      <family val="2"/>
      <scheme val="major"/>
    </font>
    <font>
      <b/>
      <i/>
      <sz val="10"/>
      <color rgb="FF202124"/>
      <name val="Arial"/>
      <family val="2"/>
      <scheme val="major"/>
    </font>
    <font>
      <sz val="11"/>
      <color theme="0"/>
      <name val="Arial"/>
      <family val="2"/>
      <scheme val="minor"/>
    </font>
    <font>
      <b/>
      <sz val="9"/>
      <color indexed="81"/>
      <name val="Tahoma"/>
      <family val="2"/>
    </font>
    <font>
      <sz val="9"/>
      <color indexed="81"/>
      <name val="Tahoma"/>
      <family val="2"/>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FA7D00"/>
      <name val="Arial"/>
      <family val="2"/>
      <scheme val="minor"/>
    </font>
    <font>
      <b/>
      <sz val="14"/>
      <color theme="1"/>
      <name val="Arial"/>
      <family val="2"/>
      <scheme val="minor"/>
    </font>
    <font>
      <sz val="14"/>
      <color theme="1"/>
      <name val="Arial"/>
      <family val="2"/>
      <scheme val="minor"/>
    </font>
    <font>
      <sz val="11"/>
      <color theme="4" tint="-0.499984740745262"/>
      <name val="Arial"/>
      <family val="2"/>
      <scheme val="minor"/>
    </font>
    <font>
      <sz val="11"/>
      <color rgb="FF7030A0"/>
      <name val="Arial"/>
      <family val="2"/>
      <scheme val="minor"/>
    </font>
    <font>
      <b/>
      <sz val="12"/>
      <color theme="1"/>
      <name val="DejaVu Sans"/>
      <family val="2"/>
    </font>
    <font>
      <sz val="12"/>
      <color theme="1"/>
      <name val="DejaVu Sans"/>
      <family val="2"/>
    </font>
    <font>
      <sz val="12"/>
      <color theme="0"/>
      <name val="Arial"/>
      <family val="2"/>
      <scheme val="minor"/>
    </font>
    <font>
      <sz val="12"/>
      <color theme="1"/>
      <name val="Arial"/>
      <family val="2"/>
      <scheme val="minor"/>
    </font>
  </fonts>
  <fills count="42">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0"/>
        <bgColor indexed="64"/>
      </patternFill>
    </fill>
    <fill>
      <patternFill patternType="solid">
        <fgColor rgb="FFFF0000"/>
        <bgColor indexed="64"/>
      </patternFill>
    </fill>
    <fill>
      <patternFill patternType="solid">
        <fgColor theme="0"/>
        <bgColor rgb="FFFFFFFF"/>
      </patternFill>
    </fill>
    <fill>
      <patternFill patternType="solid">
        <fgColor theme="0"/>
        <bgColor rgb="FFF8F9FA"/>
      </patternFill>
    </fill>
    <fill>
      <patternFill patternType="solid">
        <fgColor theme="0"/>
        <bgColor rgb="FF5B3F86"/>
      </patternFill>
    </fill>
    <fill>
      <patternFill patternType="solid">
        <fgColor rgb="FFFFFF00"/>
        <bgColor indexed="64"/>
      </patternFill>
    </fill>
    <fill>
      <patternFill patternType="solid">
        <fgColor theme="5" tint="-0.249977111117893"/>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theme="4" tint="0.59999389629810485"/>
        <bgColor indexed="65"/>
      </patternFill>
    </fill>
    <fill>
      <patternFill patternType="solid">
        <fgColor rgb="FFCC66FF"/>
        <bgColor indexed="64"/>
      </patternFill>
    </fill>
    <fill>
      <patternFill patternType="solid">
        <fgColor rgb="FF00B0F0"/>
        <bgColor indexed="64"/>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31">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indexed="64"/>
      </left>
      <right style="thin">
        <color indexed="64"/>
      </right>
      <top style="thin">
        <color indexed="64"/>
      </top>
      <bottom style="thin">
        <color indexed="64"/>
      </bottom>
      <diagonal/>
    </border>
    <border>
      <left/>
      <right style="thin">
        <color rgb="FFFFFFFF"/>
      </right>
      <top style="thin">
        <color rgb="FFFFFFFF"/>
      </top>
      <bottom style="thin">
        <color rgb="FFFFFFFF"/>
      </bottom>
      <diagonal/>
    </border>
    <border>
      <left style="thin">
        <color indexed="64"/>
      </left>
      <right/>
      <top style="thin">
        <color indexed="64"/>
      </top>
      <bottom style="thin">
        <color indexed="64"/>
      </bottom>
      <diagonal/>
    </border>
    <border>
      <left style="thin">
        <color rgb="FFF8F9FA"/>
      </left>
      <right/>
      <top style="thin">
        <color rgb="FFF8F9FA"/>
      </top>
      <bottom style="thin">
        <color rgb="FFF8F9FA"/>
      </bottom>
      <diagonal/>
    </border>
    <border>
      <left style="thin">
        <color rgb="FF5B3F86"/>
      </left>
      <right/>
      <top style="thin">
        <color rgb="FF442F65"/>
      </top>
      <bottom style="thin">
        <color rgb="FF442F65"/>
      </bottom>
      <diagonal/>
    </border>
    <border>
      <left style="thin">
        <color rgb="FF5B3F86"/>
      </left>
      <right/>
      <top style="thin">
        <color rgb="FF442F65"/>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rgb="FF7F7F7F"/>
      </left>
      <right style="thin">
        <color rgb="FF7F7F7F"/>
      </right>
      <top style="thin">
        <color rgb="FF7F7F7F"/>
      </top>
      <bottom style="thin">
        <color rgb="FF7F7F7F"/>
      </bottom>
      <diagonal/>
    </border>
    <border>
      <left style="medium">
        <color indexed="64"/>
      </left>
      <right style="thin">
        <color theme="0"/>
      </right>
      <top style="medium">
        <color indexed="64"/>
      </top>
      <bottom/>
      <diagonal/>
    </border>
    <border>
      <left style="thin">
        <color theme="0"/>
      </left>
      <right/>
      <top style="medium">
        <color indexed="64"/>
      </top>
      <bottom/>
      <diagonal/>
    </border>
    <border>
      <left style="medium">
        <color indexed="64"/>
      </left>
      <right style="thin">
        <color theme="0"/>
      </right>
      <top/>
      <bottom/>
      <diagonal/>
    </border>
    <border>
      <left style="medium">
        <color indexed="64"/>
      </left>
      <right/>
      <top/>
      <bottom/>
      <diagonal/>
    </border>
    <border>
      <left style="medium">
        <color indexed="64"/>
      </left>
      <right/>
      <top/>
      <bottom style="medium">
        <color indexed="64"/>
      </bottom>
      <diagonal/>
    </border>
    <border>
      <left style="thin">
        <color theme="0"/>
      </left>
      <right/>
      <top style="thin">
        <color theme="0"/>
      </top>
      <bottom style="thin">
        <color theme="0"/>
      </bottom>
      <diagonal/>
    </border>
    <border>
      <left style="thin">
        <color theme="0"/>
      </left>
      <right/>
      <top style="thin">
        <color theme="0"/>
      </top>
      <bottom style="medium">
        <color indexed="64"/>
      </bottom>
      <diagonal/>
    </border>
    <border>
      <left/>
      <right/>
      <top style="thin">
        <color theme="0"/>
      </top>
      <bottom/>
      <diagonal/>
    </border>
  </borders>
  <cellStyleXfs count="24">
    <xf numFmtId="0" fontId="0" fillId="0" borderId="0"/>
    <xf numFmtId="0" fontId="7" fillId="0" borderId="0"/>
    <xf numFmtId="0" fontId="6" fillId="0" borderId="0"/>
    <xf numFmtId="0" fontId="26" fillId="13" borderId="0" applyNumberFormat="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22" applyNumberFormat="0" applyAlignment="0" applyProtection="0"/>
    <xf numFmtId="0" fontId="30" fillId="17" borderId="22" applyNumberFormat="0" applyAlignment="0" applyProtection="0"/>
    <xf numFmtId="0" fontId="5" fillId="18" borderId="0" applyNumberFormat="0" applyBorder="0" applyAlignment="0" applyProtection="0"/>
    <xf numFmtId="0" fontId="5" fillId="0" borderId="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0" borderId="0"/>
    <xf numFmtId="0" fontId="3" fillId="0" borderId="0"/>
    <xf numFmtId="0" fontId="3" fillId="18"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cellStyleXfs>
  <cellXfs count="233">
    <xf numFmtId="0" fontId="0" fillId="0" borderId="0" xfId="0"/>
    <xf numFmtId="164" fontId="8" fillId="0" borderId="7" xfId="0" applyNumberFormat="1"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164" fontId="8" fillId="0" borderId="4" xfId="0" applyNumberFormat="1"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8" fillId="0" borderId="12" xfId="0" applyFont="1" applyBorder="1" applyAlignment="1">
      <alignment vertical="center"/>
    </xf>
    <xf numFmtId="0" fontId="8" fillId="2" borderId="5" xfId="0" applyFont="1" applyFill="1" applyBorder="1" applyAlignment="1">
      <alignment vertical="center"/>
    </xf>
    <xf numFmtId="0" fontId="8" fillId="3" borderId="8" xfId="0" applyFont="1" applyFill="1" applyBorder="1" applyAlignment="1">
      <alignment vertical="center"/>
    </xf>
    <xf numFmtId="0" fontId="8" fillId="0" borderId="2" xfId="0" applyFont="1" applyBorder="1" applyAlignment="1">
      <alignment horizontal="left" vertical="center" wrapText="1"/>
    </xf>
    <xf numFmtId="165" fontId="0" fillId="0" borderId="0" xfId="0" applyNumberFormat="1"/>
    <xf numFmtId="0" fontId="8" fillId="0" borderId="0" xfId="0" applyFont="1" applyAlignment="1">
      <alignment vertical="center"/>
    </xf>
    <xf numFmtId="0" fontId="0" fillId="4" borderId="0" xfId="0" applyFill="1"/>
    <xf numFmtId="0" fontId="8" fillId="0" borderId="14" xfId="0" applyFont="1" applyBorder="1" applyAlignment="1">
      <alignment vertical="center"/>
    </xf>
    <xf numFmtId="0" fontId="8" fillId="2" borderId="14" xfId="0" applyFont="1" applyFill="1" applyBorder="1" applyAlignment="1">
      <alignment vertical="center"/>
    </xf>
    <xf numFmtId="0" fontId="0" fillId="0" borderId="13" xfId="0" applyBorder="1"/>
    <xf numFmtId="0" fontId="0" fillId="4" borderId="13" xfId="0" applyFill="1" applyBorder="1"/>
    <xf numFmtId="0" fontId="14" fillId="0" borderId="2" xfId="0" applyFont="1" applyBorder="1" applyAlignment="1">
      <alignment horizontal="left" vertical="center" wrapText="1"/>
    </xf>
    <xf numFmtId="0" fontId="14" fillId="0" borderId="1" xfId="0" applyFont="1" applyBorder="1" applyAlignment="1">
      <alignment horizontal="left" vertical="center" wrapText="1"/>
    </xf>
    <xf numFmtId="49" fontId="14" fillId="0" borderId="2" xfId="0" applyNumberFormat="1" applyFont="1" applyBorder="1" applyAlignment="1">
      <alignment horizontal="left" vertical="center" wrapText="1"/>
    </xf>
    <xf numFmtId="0" fontId="14" fillId="0" borderId="3" xfId="0" applyFont="1" applyBorder="1" applyAlignment="1">
      <alignment horizontal="left" vertical="center" wrapText="1"/>
    </xf>
    <xf numFmtId="0" fontId="14" fillId="0" borderId="0" xfId="0" applyFont="1" applyAlignment="1">
      <alignment wrapText="1"/>
    </xf>
    <xf numFmtId="0" fontId="14" fillId="5" borderId="2" xfId="0" applyFont="1" applyFill="1" applyBorder="1" applyAlignment="1">
      <alignment horizontal="left" vertical="center" wrapText="1"/>
    </xf>
    <xf numFmtId="0" fontId="0" fillId="0" borderId="0" xfId="0" applyAlignment="1">
      <alignment wrapText="1"/>
    </xf>
    <xf numFmtId="0" fontId="8" fillId="0" borderId="5" xfId="0" applyFont="1" applyBorder="1" applyAlignment="1">
      <alignment vertical="center" wrapText="1"/>
    </xf>
    <xf numFmtId="0" fontId="8" fillId="0" borderId="8" xfId="0" applyFont="1" applyBorder="1" applyAlignment="1">
      <alignment vertical="center" wrapText="1"/>
    </xf>
    <xf numFmtId="0" fontId="0" fillId="0" borderId="13" xfId="0" applyBorder="1" applyAlignment="1">
      <alignment wrapText="1"/>
    </xf>
    <xf numFmtId="0" fontId="0" fillId="0" borderId="13" xfId="0" applyBorder="1" applyAlignment="1">
      <alignment horizontal="left" vertical="center" wrapText="1"/>
    </xf>
    <xf numFmtId="165" fontId="9" fillId="0" borderId="0" xfId="0" applyNumberFormat="1" applyFont="1" applyAlignment="1">
      <alignment wrapText="1"/>
    </xf>
    <xf numFmtId="165" fontId="0" fillId="0" borderId="0" xfId="0" applyNumberFormat="1" applyAlignment="1">
      <alignment wrapText="1"/>
    </xf>
    <xf numFmtId="165" fontId="9" fillId="0" borderId="13" xfId="0" applyNumberFormat="1" applyFont="1" applyBorder="1" applyAlignment="1">
      <alignment wrapText="1"/>
    </xf>
    <xf numFmtId="0" fontId="8" fillId="0" borderId="13" xfId="0" applyFont="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8" fillId="0" borderId="16" xfId="0" applyFont="1" applyBorder="1" applyAlignment="1">
      <alignment vertical="center"/>
    </xf>
    <xf numFmtId="0" fontId="8" fillId="3" borderId="16" xfId="0" applyFont="1" applyFill="1" applyBorder="1" applyAlignment="1">
      <alignment vertical="center"/>
    </xf>
    <xf numFmtId="0" fontId="8" fillId="0" borderId="13" xfId="0" applyFont="1" applyBorder="1" applyAlignment="1">
      <alignment horizontal="center" vertical="center"/>
    </xf>
    <xf numFmtId="0" fontId="9" fillId="0" borderId="13" xfId="0" applyFont="1" applyBorder="1" applyAlignment="1">
      <alignment horizontal="center" vertical="center"/>
    </xf>
    <xf numFmtId="0" fontId="8" fillId="2" borderId="13" xfId="0" applyFont="1" applyFill="1" applyBorder="1" applyAlignment="1">
      <alignment horizontal="center" vertical="center"/>
    </xf>
    <xf numFmtId="0" fontId="8" fillId="0" borderId="16" xfId="0" applyFont="1" applyBorder="1" applyAlignment="1">
      <alignment vertical="center" wrapText="1"/>
    </xf>
    <xf numFmtId="0" fontId="9" fillId="0" borderId="13" xfId="0" applyFont="1" applyBorder="1" applyAlignment="1">
      <alignment horizontal="center" wrapText="1"/>
    </xf>
    <xf numFmtId="0" fontId="8" fillId="0" borderId="13" xfId="0" applyFont="1" applyBorder="1" applyAlignment="1">
      <alignment horizontal="center" wrapText="1"/>
    </xf>
    <xf numFmtId="0" fontId="8" fillId="0" borderId="13" xfId="0" applyFont="1" applyBorder="1" applyAlignment="1">
      <alignment horizontal="center" vertical="center" wrapText="1"/>
    </xf>
    <xf numFmtId="0" fontId="9" fillId="0" borderId="13" xfId="0" applyFont="1" applyBorder="1" applyAlignment="1">
      <alignment horizontal="center" vertical="center" wrapText="1"/>
    </xf>
    <xf numFmtId="0" fontId="0" fillId="0" borderId="0" xfId="0" applyAlignment="1">
      <alignment vertical="center" wrapText="1"/>
    </xf>
    <xf numFmtId="0" fontId="9" fillId="0" borderId="13" xfId="0" applyFont="1" applyBorder="1" applyAlignment="1">
      <alignment vertical="center" wrapText="1"/>
    </xf>
    <xf numFmtId="0" fontId="0" fillId="0" borderId="13" xfId="0" applyBorder="1" applyAlignment="1">
      <alignment vertical="center" wrapText="1"/>
    </xf>
    <xf numFmtId="0" fontId="15" fillId="0" borderId="13" xfId="0" applyFont="1" applyBorder="1" applyAlignment="1">
      <alignment horizontal="center" vertical="center"/>
    </xf>
    <xf numFmtId="0" fontId="9" fillId="0" borderId="13" xfId="0" applyFont="1" applyBorder="1" applyAlignment="1">
      <alignment wrapText="1"/>
    </xf>
    <xf numFmtId="0" fontId="10" fillId="0" borderId="13" xfId="0" applyFont="1" applyBorder="1" applyAlignment="1">
      <alignment horizontal="left" vertical="center" wrapText="1"/>
    </xf>
    <xf numFmtId="0" fontId="8" fillId="0" borderId="13" xfId="0" applyFont="1" applyBorder="1" applyAlignment="1">
      <alignment vertical="center"/>
    </xf>
    <xf numFmtId="0" fontId="0" fillId="0" borderId="0" xfId="0" applyAlignment="1">
      <alignment horizontal="left" vertical="center" wrapText="1"/>
    </xf>
    <xf numFmtId="0" fontId="9" fillId="0" borderId="13" xfId="0" applyFont="1" applyBorder="1" applyAlignment="1">
      <alignment horizontal="left" vertical="center" wrapText="1"/>
    </xf>
    <xf numFmtId="0" fontId="0" fillId="0" borderId="13" xfId="0" applyBorder="1" applyAlignment="1">
      <alignment vertical="center"/>
    </xf>
    <xf numFmtId="0" fontId="0" fillId="0" borderId="13" xfId="0" applyBorder="1" applyAlignment="1">
      <alignment horizontal="center" vertical="center"/>
    </xf>
    <xf numFmtId="0" fontId="15" fillId="0" borderId="0" xfId="0" applyFont="1"/>
    <xf numFmtId="165" fontId="9" fillId="0" borderId="13" xfId="0" applyNumberFormat="1" applyFont="1" applyBorder="1" applyAlignment="1">
      <alignment horizontal="left" vertical="center" wrapText="1"/>
    </xf>
    <xf numFmtId="165" fontId="0" fillId="0" borderId="13" xfId="0" applyNumberFormat="1" applyBorder="1"/>
    <xf numFmtId="0" fontId="0" fillId="0" borderId="0" xfId="0" applyAlignment="1">
      <alignment horizontal="center"/>
    </xf>
    <xf numFmtId="0" fontId="8" fillId="0" borderId="15" xfId="0" applyFont="1" applyBorder="1" applyAlignment="1">
      <alignment horizontal="center" vertical="center"/>
    </xf>
    <xf numFmtId="0" fontId="0" fillId="0" borderId="15" xfId="0" applyBorder="1" applyAlignment="1">
      <alignment horizontal="center"/>
    </xf>
    <xf numFmtId="0" fontId="16" fillId="0" borderId="13" xfId="0" applyFont="1" applyBorder="1" applyAlignment="1">
      <alignment horizontal="center" vertical="center" wrapText="1"/>
    </xf>
    <xf numFmtId="0" fontId="8" fillId="4" borderId="13" xfId="0" applyFont="1" applyFill="1" applyBorder="1" applyAlignment="1">
      <alignment vertical="center"/>
    </xf>
    <xf numFmtId="0" fontId="8" fillId="6" borderId="13" xfId="0" applyFont="1" applyFill="1" applyBorder="1" applyAlignment="1">
      <alignment vertical="center"/>
    </xf>
    <xf numFmtId="0" fontId="8" fillId="7" borderId="13" xfId="0" applyFont="1" applyFill="1" applyBorder="1" applyAlignment="1">
      <alignment vertical="center"/>
    </xf>
    <xf numFmtId="0" fontId="8" fillId="4" borderId="13" xfId="0" applyFont="1" applyFill="1" applyBorder="1" applyAlignment="1">
      <alignment horizontal="left" vertical="center" wrapText="1"/>
    </xf>
    <xf numFmtId="0" fontId="8" fillId="8" borderId="13" xfId="0" applyFont="1" applyFill="1" applyBorder="1" applyAlignment="1">
      <alignment horizontal="left" vertical="center" wrapText="1"/>
    </xf>
    <xf numFmtId="0" fontId="8" fillId="4" borderId="13" xfId="0" applyFont="1" applyFill="1" applyBorder="1" applyAlignment="1">
      <alignment horizontal="center" vertical="center"/>
    </xf>
    <xf numFmtId="0" fontId="8" fillId="6" borderId="13" xfId="0" applyFont="1" applyFill="1" applyBorder="1" applyAlignment="1">
      <alignment horizontal="center" vertical="center"/>
    </xf>
    <xf numFmtId="0" fontId="0" fillId="0" borderId="13" xfId="0" applyBorder="1" applyAlignment="1">
      <alignment horizontal="center"/>
    </xf>
    <xf numFmtId="165" fontId="9" fillId="0" borderId="0" xfId="0" applyNumberFormat="1" applyFont="1"/>
    <xf numFmtId="0" fontId="8" fillId="0" borderId="13" xfId="0" applyFont="1" applyBorder="1" applyAlignment="1">
      <alignment vertical="center" wrapText="1"/>
    </xf>
    <xf numFmtId="0" fontId="0" fillId="0" borderId="13" xfId="0" applyBorder="1" applyAlignment="1">
      <alignment horizontal="center" vertical="center" wrapText="1"/>
    </xf>
    <xf numFmtId="0" fontId="8" fillId="0" borderId="13" xfId="0" applyFont="1" applyBorder="1" applyAlignment="1">
      <alignment horizontal="left" vertical="center"/>
    </xf>
    <xf numFmtId="0" fontId="8" fillId="0" borderId="17" xfId="0" applyFont="1" applyBorder="1" applyAlignment="1">
      <alignment horizontal="left" vertical="center" wrapText="1"/>
    </xf>
    <xf numFmtId="0" fontId="8" fillId="0" borderId="18" xfId="0" applyFont="1" applyBorder="1" applyAlignment="1">
      <alignment horizontal="left" vertical="center" wrapText="1"/>
    </xf>
    <xf numFmtId="0" fontId="9" fillId="0" borderId="0" xfId="0" applyFont="1" applyAlignment="1">
      <alignment wrapText="1"/>
    </xf>
    <xf numFmtId="0" fontId="12" fillId="0" borderId="13" xfId="0" applyFont="1" applyBorder="1" applyAlignment="1">
      <alignment wrapText="1"/>
    </xf>
    <xf numFmtId="0" fontId="18" fillId="0" borderId="0" xfId="0" applyFont="1" applyAlignment="1">
      <alignment wrapText="1"/>
    </xf>
    <xf numFmtId="0" fontId="8"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5" fillId="0" borderId="0" xfId="9"/>
    <xf numFmtId="0" fontId="31" fillId="0" borderId="0" xfId="9" applyFont="1"/>
    <xf numFmtId="0" fontId="32" fillId="0" borderId="0" xfId="9" applyFont="1"/>
    <xf numFmtId="49" fontId="5" fillId="0" borderId="0" xfId="9" applyNumberFormat="1"/>
    <xf numFmtId="0" fontId="27" fillId="14" borderId="0" xfId="4"/>
    <xf numFmtId="49" fontId="27" fillId="14" borderId="0" xfId="4" applyNumberFormat="1"/>
    <xf numFmtId="0" fontId="5" fillId="18" borderId="0" xfId="8"/>
    <xf numFmtId="0" fontId="29" fillId="16" borderId="22" xfId="6"/>
    <xf numFmtId="49" fontId="29" fillId="16" borderId="22" xfId="6" applyNumberFormat="1"/>
    <xf numFmtId="0" fontId="26" fillId="13" borderId="22" xfId="3" applyBorder="1"/>
    <xf numFmtId="0" fontId="28" fillId="15" borderId="0" xfId="5"/>
    <xf numFmtId="49" fontId="28" fillId="15" borderId="0" xfId="5" applyNumberFormat="1"/>
    <xf numFmtId="0" fontId="26" fillId="13" borderId="0" xfId="3"/>
    <xf numFmtId="49" fontId="26" fillId="13" borderId="0" xfId="3" applyNumberFormat="1"/>
    <xf numFmtId="49" fontId="5" fillId="18" borderId="0" xfId="8" applyNumberFormat="1"/>
    <xf numFmtId="0" fontId="5" fillId="19" borderId="0" xfId="9" applyFill="1"/>
    <xf numFmtId="0" fontId="5" fillId="20" borderId="0" xfId="9" applyFill="1"/>
    <xf numFmtId="0" fontId="33" fillId="20" borderId="0" xfId="9" applyFont="1" applyFill="1"/>
    <xf numFmtId="0" fontId="30" fillId="17" borderId="22" xfId="7"/>
    <xf numFmtId="0" fontId="4" fillId="0" borderId="0" xfId="9" applyFont="1"/>
    <xf numFmtId="0" fontId="34" fillId="0" borderId="0" xfId="9" applyFont="1"/>
    <xf numFmtId="0" fontId="4" fillId="20" borderId="0" xfId="8" applyFont="1" applyFill="1"/>
    <xf numFmtId="0" fontId="3" fillId="12" borderId="21" xfId="15" applyFill="1" applyBorder="1"/>
    <xf numFmtId="0" fontId="3" fillId="11" borderId="21" xfId="15" applyFill="1" applyBorder="1"/>
    <xf numFmtId="0" fontId="3" fillId="0" borderId="0" xfId="15"/>
    <xf numFmtId="0" fontId="3" fillId="11" borderId="20" xfId="15" applyFill="1" applyBorder="1"/>
    <xf numFmtId="0" fontId="3" fillId="0" borderId="0" xfId="16"/>
    <xf numFmtId="0" fontId="3" fillId="0" borderId="0" xfId="15" applyAlignment="1">
      <alignment wrapText="1"/>
    </xf>
    <xf numFmtId="0" fontId="3" fillId="0" borderId="0" xfId="9" applyFont="1"/>
    <xf numFmtId="0" fontId="3" fillId="18" borderId="0" xfId="8" applyFont="1"/>
    <xf numFmtId="167" fontId="3" fillId="0" borderId="0" xfId="15" applyNumberFormat="1"/>
    <xf numFmtId="0" fontId="3" fillId="0" borderId="0" xfId="15" applyFont="1" applyFill="1"/>
    <xf numFmtId="0" fontId="8" fillId="0" borderId="0" xfId="0" applyFont="1" applyAlignment="1">
      <alignment horizontal="center"/>
    </xf>
    <xf numFmtId="1" fontId="0" fillId="0" borderId="0" xfId="0" applyNumberFormat="1"/>
    <xf numFmtId="49" fontId="0" fillId="0" borderId="0" xfId="0" applyNumberFormat="1"/>
    <xf numFmtId="49" fontId="3" fillId="25" borderId="0" xfId="14" applyNumberFormat="1" applyAlignment="1">
      <alignment horizontal="center"/>
    </xf>
    <xf numFmtId="49" fontId="3" fillId="25" borderId="0" xfId="14" applyNumberFormat="1" applyAlignment="1">
      <alignment horizontal="center" wrapText="1"/>
    </xf>
    <xf numFmtId="49" fontId="3" fillId="25" borderId="0" xfId="14" applyNumberFormat="1"/>
    <xf numFmtId="1" fontId="3" fillId="0" borderId="0" xfId="15" applyNumberFormat="1"/>
    <xf numFmtId="49" fontId="3" fillId="0" borderId="0" xfId="15" applyNumberFormat="1"/>
    <xf numFmtId="0" fontId="38" fillId="0" borderId="0" xfId="15" applyFont="1" applyFill="1"/>
    <xf numFmtId="49" fontId="2" fillId="25" borderId="0" xfId="14" applyNumberFormat="1" applyFont="1" applyAlignment="1">
      <alignment horizontal="center"/>
    </xf>
    <xf numFmtId="167" fontId="35" fillId="12" borderId="21" xfId="15" applyNumberFormat="1" applyFont="1" applyFill="1" applyBorder="1" applyAlignment="1">
      <alignment horizontal="center" wrapText="1"/>
    </xf>
    <xf numFmtId="167" fontId="36" fillId="12" borderId="21" xfId="15" applyNumberFormat="1" applyFont="1" applyFill="1" applyBorder="1" applyAlignment="1">
      <alignment horizontal="center" wrapText="1"/>
    </xf>
    <xf numFmtId="167" fontId="1" fillId="12" borderId="21" xfId="15" applyNumberFormat="1" applyFont="1" applyFill="1" applyBorder="1" applyAlignment="1"/>
    <xf numFmtId="49" fontId="35" fillId="11" borderId="21" xfId="15" applyNumberFormat="1" applyFont="1" applyFill="1" applyBorder="1" applyAlignment="1">
      <alignment horizontal="center" wrapText="1"/>
    </xf>
    <xf numFmtId="49" fontId="36" fillId="11" borderId="21" xfId="15" applyNumberFormat="1" applyFont="1" applyFill="1" applyBorder="1" applyAlignment="1">
      <alignment horizontal="center" wrapText="1"/>
    </xf>
    <xf numFmtId="49" fontId="1" fillId="12" borderId="21" xfId="15" applyNumberFormat="1" applyFont="1" applyFill="1" applyBorder="1" applyAlignment="1"/>
    <xf numFmtId="49" fontId="1" fillId="11" borderId="21" xfId="15" applyNumberFormat="1" applyFont="1" applyFill="1" applyBorder="1" applyAlignment="1"/>
    <xf numFmtId="49" fontId="35" fillId="12" borderId="21" xfId="15" applyNumberFormat="1" applyFont="1" applyFill="1" applyBorder="1" applyAlignment="1">
      <alignment horizontal="center" wrapText="1"/>
    </xf>
    <xf numFmtId="49" fontId="37" fillId="26" borderId="21" xfId="18" applyNumberFormat="1" applyFont="1" applyFill="1" applyBorder="1" applyAlignment="1">
      <alignment horizontal="center" wrapText="1"/>
    </xf>
    <xf numFmtId="1" fontId="35" fillId="32" borderId="19" xfId="15" applyNumberFormat="1" applyFont="1" applyFill="1" applyBorder="1" applyAlignment="1">
      <alignment horizontal="center" wrapText="1"/>
    </xf>
    <xf numFmtId="1" fontId="37" fillId="30" borderId="19" xfId="22" applyNumberFormat="1" applyFont="1" applyFill="1" applyBorder="1" applyAlignment="1">
      <alignment horizontal="center" wrapText="1"/>
    </xf>
    <xf numFmtId="1" fontId="1" fillId="32" borderId="19" xfId="15" applyNumberFormat="1" applyFont="1" applyFill="1" applyBorder="1" applyAlignment="1"/>
    <xf numFmtId="1" fontId="35" fillId="33" borderId="21" xfId="15" applyNumberFormat="1" applyFont="1" applyFill="1" applyBorder="1" applyAlignment="1">
      <alignment horizontal="center" wrapText="1"/>
    </xf>
    <xf numFmtId="1" fontId="37" fillId="30" borderId="21" xfId="22" applyNumberFormat="1" applyFont="1" applyFill="1" applyBorder="1" applyAlignment="1">
      <alignment horizontal="center" wrapText="1"/>
    </xf>
    <xf numFmtId="1" fontId="1" fillId="33" borderId="21" xfId="15" applyNumberFormat="1" applyFont="1" applyFill="1" applyBorder="1" applyAlignment="1"/>
    <xf numFmtId="49" fontId="35" fillId="32" borderId="21" xfId="15" applyNumberFormat="1" applyFont="1" applyFill="1" applyBorder="1" applyAlignment="1">
      <alignment horizontal="center" wrapText="1"/>
    </xf>
    <xf numFmtId="49" fontId="36" fillId="32" borderId="21" xfId="15" applyNumberFormat="1" applyFont="1" applyFill="1" applyBorder="1" applyAlignment="1">
      <alignment horizontal="center" wrapText="1"/>
    </xf>
    <xf numFmtId="49" fontId="1" fillId="32" borderId="21" xfId="15" applyNumberFormat="1" applyFont="1" applyFill="1" applyBorder="1" applyAlignment="1"/>
    <xf numFmtId="49" fontId="35" fillId="34" borderId="19" xfId="15" applyNumberFormat="1" applyFont="1" applyFill="1" applyBorder="1" applyAlignment="1">
      <alignment horizontal="center" wrapText="1"/>
    </xf>
    <xf numFmtId="49" fontId="37" fillId="27" borderId="19" xfId="19" applyNumberFormat="1" applyFont="1" applyFill="1" applyBorder="1" applyAlignment="1">
      <alignment horizontal="center" wrapText="1"/>
    </xf>
    <xf numFmtId="49" fontId="1" fillId="34" borderId="19" xfId="15" applyNumberFormat="1" applyFont="1" applyFill="1" applyBorder="1" applyAlignment="1"/>
    <xf numFmtId="1" fontId="35" fillId="35" borderId="21" xfId="15" applyNumberFormat="1" applyFont="1" applyFill="1" applyBorder="1" applyAlignment="1">
      <alignment horizontal="center" wrapText="1"/>
    </xf>
    <xf numFmtId="1" fontId="37" fillId="27" borderId="21" xfId="19" applyNumberFormat="1" applyFont="1" applyFill="1" applyBorder="1" applyAlignment="1">
      <alignment horizontal="center" wrapText="1"/>
    </xf>
    <xf numFmtId="1" fontId="1" fillId="35" borderId="21" xfId="15" applyNumberFormat="1" applyFont="1" applyFill="1" applyBorder="1" applyAlignment="1"/>
    <xf numFmtId="1" fontId="35" fillId="34" borderId="21" xfId="15" applyNumberFormat="1" applyFont="1" applyFill="1" applyBorder="1" applyAlignment="1">
      <alignment horizontal="center" wrapText="1"/>
    </xf>
    <xf numFmtId="1" fontId="1" fillId="34" borderId="21" xfId="15" applyNumberFormat="1" applyFont="1" applyFill="1" applyBorder="1" applyAlignment="1"/>
    <xf numFmtId="1" fontId="35" fillId="36" borderId="19" xfId="15" applyNumberFormat="1" applyFont="1" applyFill="1" applyBorder="1" applyAlignment="1">
      <alignment horizontal="center" wrapText="1"/>
    </xf>
    <xf numFmtId="1" fontId="37" fillId="29" borderId="19" xfId="21" applyNumberFormat="1" applyFont="1" applyFill="1" applyBorder="1" applyAlignment="1">
      <alignment horizontal="center" wrapText="1"/>
    </xf>
    <xf numFmtId="1" fontId="1" fillId="36" borderId="19" xfId="15" applyNumberFormat="1" applyFont="1" applyFill="1" applyBorder="1" applyAlignment="1"/>
    <xf numFmtId="49" fontId="35" fillId="37" borderId="21" xfId="15" applyNumberFormat="1" applyFont="1" applyFill="1" applyBorder="1" applyAlignment="1">
      <alignment horizontal="center" wrapText="1"/>
    </xf>
    <xf numFmtId="49" fontId="36" fillId="37" borderId="21" xfId="15" applyNumberFormat="1" applyFont="1" applyFill="1" applyBorder="1" applyAlignment="1">
      <alignment horizontal="center" wrapText="1"/>
    </xf>
    <xf numFmtId="49" fontId="1" fillId="37" borderId="21" xfId="15" applyNumberFormat="1" applyFont="1" applyFill="1" applyBorder="1" applyAlignment="1"/>
    <xf numFmtId="1" fontId="35" fillId="36" borderId="21" xfId="15" applyNumberFormat="1" applyFont="1" applyFill="1" applyBorder="1" applyAlignment="1">
      <alignment horizontal="center" wrapText="1"/>
    </xf>
    <xf numFmtId="1" fontId="37" fillId="29" borderId="21" xfId="21" applyNumberFormat="1" applyFont="1" applyFill="1" applyBorder="1" applyAlignment="1">
      <alignment horizontal="center" wrapText="1"/>
    </xf>
    <xf numFmtId="1" fontId="1" fillId="36" borderId="21" xfId="15" applyNumberFormat="1" applyFont="1" applyFill="1" applyBorder="1" applyAlignment="1"/>
    <xf numFmtId="1" fontId="35" fillId="37" borderId="21" xfId="15" applyNumberFormat="1" applyFont="1" applyFill="1" applyBorder="1" applyAlignment="1">
      <alignment horizontal="center" wrapText="1"/>
    </xf>
    <xf numFmtId="1" fontId="1" fillId="37" borderId="21" xfId="15" applyNumberFormat="1" applyFont="1" applyFill="1" applyBorder="1" applyAlignment="1"/>
    <xf numFmtId="1" fontId="35" fillId="38" borderId="19" xfId="15" applyNumberFormat="1" applyFont="1" applyFill="1" applyBorder="1" applyAlignment="1">
      <alignment horizontal="center" wrapText="1"/>
    </xf>
    <xf numFmtId="1" fontId="37" fillId="28" borderId="19" xfId="20" applyNumberFormat="1" applyFont="1" applyFill="1" applyBorder="1" applyAlignment="1">
      <alignment horizontal="center" wrapText="1"/>
    </xf>
    <xf numFmtId="1" fontId="1" fillId="38" borderId="19" xfId="15" applyNumberFormat="1" applyFont="1" applyFill="1" applyBorder="1" applyAlignment="1"/>
    <xf numFmtId="1" fontId="35" fillId="39" borderId="21" xfId="15" applyNumberFormat="1" applyFont="1" applyFill="1" applyBorder="1" applyAlignment="1">
      <alignment horizontal="center" wrapText="1"/>
    </xf>
    <xf numFmtId="1" fontId="37" fillId="28" borderId="21" xfId="20" applyNumberFormat="1" applyFont="1" applyFill="1" applyBorder="1" applyAlignment="1">
      <alignment horizontal="center" wrapText="1"/>
    </xf>
    <xf numFmtId="1" fontId="1" fillId="39" borderId="21" xfId="15" applyNumberFormat="1" applyFont="1" applyFill="1" applyBorder="1" applyAlignment="1"/>
    <xf numFmtId="1" fontId="35" fillId="38" borderId="28" xfId="15" applyNumberFormat="1" applyFont="1" applyFill="1" applyBorder="1" applyAlignment="1">
      <alignment horizontal="center" wrapText="1"/>
    </xf>
    <xf numFmtId="1" fontId="36" fillId="38" borderId="28" xfId="15" applyNumberFormat="1" applyFont="1" applyFill="1" applyBorder="1" applyAlignment="1">
      <alignment horizontal="center" wrapText="1"/>
    </xf>
    <xf numFmtId="1" fontId="1" fillId="38" borderId="21" xfId="15" applyNumberFormat="1" applyFont="1" applyFill="1" applyBorder="1" applyAlignment="1"/>
    <xf numFmtId="1" fontId="35" fillId="40" borderId="19" xfId="15" applyNumberFormat="1" applyFont="1" applyFill="1" applyBorder="1" applyAlignment="1">
      <alignment horizontal="center" wrapText="1"/>
    </xf>
    <xf numFmtId="1" fontId="36" fillId="40" borderId="19" xfId="15" applyNumberFormat="1" applyFont="1" applyFill="1" applyBorder="1" applyAlignment="1">
      <alignment horizontal="center" wrapText="1"/>
    </xf>
    <xf numFmtId="1" fontId="1" fillId="40" borderId="19" xfId="15" applyNumberFormat="1" applyFont="1" applyFill="1" applyBorder="1" applyAlignment="1"/>
    <xf numFmtId="1" fontId="35" fillId="41" borderId="21" xfId="15" applyNumberFormat="1" applyFont="1" applyFill="1" applyBorder="1" applyAlignment="1">
      <alignment horizontal="center" wrapText="1"/>
    </xf>
    <xf numFmtId="1" fontId="37" fillId="31" borderId="21" xfId="23" applyNumberFormat="1" applyFont="1" applyFill="1" applyBorder="1" applyAlignment="1">
      <alignment horizontal="center" wrapText="1"/>
    </xf>
    <xf numFmtId="1" fontId="1" fillId="41" borderId="21" xfId="15" applyNumberFormat="1" applyFont="1" applyFill="1" applyBorder="1" applyAlignment="1"/>
    <xf numFmtId="1" fontId="35" fillId="40" borderId="21" xfId="15" applyNumberFormat="1" applyFont="1" applyFill="1" applyBorder="1" applyAlignment="1">
      <alignment horizontal="center" wrapText="1"/>
    </xf>
    <xf numFmtId="1" fontId="1" fillId="40" borderId="21" xfId="15" applyNumberFormat="1" applyFont="1" applyFill="1" applyBorder="1" applyAlignment="1"/>
    <xf numFmtId="49" fontId="35" fillId="40" borderId="21" xfId="15" applyNumberFormat="1" applyFont="1" applyFill="1" applyBorder="1" applyAlignment="1">
      <alignment horizontal="center" wrapText="1"/>
    </xf>
    <xf numFmtId="49" fontId="36" fillId="40" borderId="21" xfId="15" applyNumberFormat="1" applyFont="1" applyFill="1" applyBorder="1" applyAlignment="1">
      <alignment horizontal="center" wrapText="1"/>
    </xf>
    <xf numFmtId="49" fontId="1" fillId="40" borderId="21" xfId="15" applyNumberFormat="1" applyFont="1" applyFill="1" applyBorder="1" applyAlignment="1"/>
    <xf numFmtId="49" fontId="35" fillId="41" borderId="29" xfId="15" applyNumberFormat="1" applyFont="1" applyFill="1" applyBorder="1" applyAlignment="1">
      <alignment horizontal="center" wrapText="1"/>
    </xf>
    <xf numFmtId="49" fontId="36" fillId="41" borderId="29" xfId="15" applyNumberFormat="1" applyFont="1" applyFill="1" applyBorder="1" applyAlignment="1">
      <alignment horizontal="center" wrapText="1"/>
    </xf>
    <xf numFmtId="49" fontId="1" fillId="41" borderId="21" xfId="15" applyNumberFormat="1" applyFont="1" applyFill="1" applyBorder="1" applyAlignment="1"/>
    <xf numFmtId="1" fontId="1" fillId="12" borderId="30" xfId="2" applyNumberFormat="1" applyFont="1" applyFill="1" applyBorder="1" applyAlignment="1">
      <alignment horizontal="center" wrapText="1"/>
    </xf>
    <xf numFmtId="1" fontId="1" fillId="12" borderId="21" xfId="2" applyNumberFormat="1" applyFont="1" applyFill="1" applyBorder="1" applyAlignment="1">
      <alignment horizontal="center" wrapText="1"/>
    </xf>
    <xf numFmtId="1" fontId="8" fillId="12" borderId="21" xfId="0" applyNumberFormat="1" applyFont="1" applyFill="1" applyBorder="1"/>
    <xf numFmtId="1" fontId="1" fillId="11" borderId="30" xfId="2" applyNumberFormat="1" applyFont="1" applyFill="1" applyBorder="1" applyAlignment="1">
      <alignment horizontal="center" wrapText="1"/>
    </xf>
    <xf numFmtId="1" fontId="1" fillId="11" borderId="21" xfId="2" applyNumberFormat="1" applyFont="1" applyFill="1" applyBorder="1" applyAlignment="1">
      <alignment horizontal="center" wrapText="1"/>
    </xf>
    <xf numFmtId="1" fontId="8" fillId="11" borderId="21" xfId="0" applyNumberFormat="1" applyFont="1" applyFill="1" applyBorder="1"/>
    <xf numFmtId="49" fontId="1" fillId="11" borderId="30" xfId="2" applyNumberFormat="1" applyFont="1" applyFill="1" applyBorder="1" applyAlignment="1">
      <alignment horizontal="center" wrapText="1"/>
    </xf>
    <xf numFmtId="49" fontId="23" fillId="26" borderId="21" xfId="18" applyNumberFormat="1" applyFont="1" applyFill="1" applyBorder="1" applyAlignment="1">
      <alignment horizontal="center" wrapText="1"/>
    </xf>
    <xf numFmtId="49" fontId="8" fillId="11" borderId="21" xfId="0" applyNumberFormat="1" applyFont="1" applyFill="1" applyBorder="1"/>
    <xf numFmtId="49" fontId="1" fillId="34" borderId="0" xfId="2" applyNumberFormat="1" applyFont="1" applyFill="1" applyBorder="1" applyAlignment="1">
      <alignment horizontal="center" wrapText="1"/>
    </xf>
    <xf numFmtId="49" fontId="1" fillId="34" borderId="19" xfId="2" applyNumberFormat="1" applyFont="1" applyFill="1" applyBorder="1" applyAlignment="1">
      <alignment horizontal="center" wrapText="1"/>
    </xf>
    <xf numFmtId="49" fontId="8" fillId="34" borderId="19" xfId="0" applyNumberFormat="1" applyFont="1" applyFill="1" applyBorder="1"/>
    <xf numFmtId="49" fontId="1" fillId="35" borderId="30" xfId="2" applyNumberFormat="1" applyFont="1" applyFill="1" applyBorder="1" applyAlignment="1">
      <alignment horizontal="center" wrapText="1"/>
    </xf>
    <xf numFmtId="49" fontId="1" fillId="35" borderId="21" xfId="2" applyNumberFormat="1" applyFont="1" applyFill="1" applyBorder="1" applyAlignment="1">
      <alignment horizontal="center" wrapText="1"/>
    </xf>
    <xf numFmtId="49" fontId="8" fillId="35" borderId="21" xfId="0" applyNumberFormat="1" applyFont="1" applyFill="1" applyBorder="1"/>
    <xf numFmtId="1" fontId="1" fillId="34" borderId="30" xfId="2" applyNumberFormat="1" applyFont="1" applyFill="1" applyBorder="1" applyAlignment="1">
      <alignment horizontal="center" wrapText="1"/>
    </xf>
    <xf numFmtId="1" fontId="23" fillId="27" borderId="21" xfId="19" applyNumberFormat="1" applyFont="1" applyFill="1" applyBorder="1" applyAlignment="1">
      <alignment horizontal="center" wrapText="1"/>
    </xf>
    <xf numFmtId="1" fontId="8" fillId="34" borderId="21" xfId="0" applyNumberFormat="1" applyFont="1" applyFill="1" applyBorder="1"/>
    <xf numFmtId="1" fontId="1" fillId="35" borderId="30" xfId="2" applyNumberFormat="1" applyFont="1" applyFill="1" applyBorder="1" applyAlignment="1">
      <alignment horizontal="center" wrapText="1"/>
    </xf>
    <xf numFmtId="1" fontId="8" fillId="35" borderId="21" xfId="0" applyNumberFormat="1" applyFont="1" applyFill="1" applyBorder="1"/>
    <xf numFmtId="1" fontId="1" fillId="36" borderId="0" xfId="2" applyNumberFormat="1" applyFont="1" applyFill="1" applyBorder="1" applyAlignment="1">
      <alignment horizontal="center" wrapText="1"/>
    </xf>
    <xf numFmtId="1" fontId="23" fillId="29" borderId="19" xfId="21" applyNumberFormat="1" applyFont="1" applyFill="1" applyBorder="1" applyAlignment="1">
      <alignment horizontal="center" wrapText="1"/>
    </xf>
    <xf numFmtId="1" fontId="8" fillId="36" borderId="19" xfId="0" applyNumberFormat="1" applyFont="1" applyFill="1" applyBorder="1"/>
    <xf numFmtId="1" fontId="1" fillId="37" borderId="30" xfId="2" applyNumberFormat="1" applyFont="1" applyFill="1" applyBorder="1" applyAlignment="1">
      <alignment horizontal="center" wrapText="1"/>
    </xf>
    <xf numFmtId="1" fontId="23" fillId="29" borderId="21" xfId="21" applyNumberFormat="1" applyFont="1" applyFill="1" applyBorder="1" applyAlignment="1">
      <alignment horizontal="center" wrapText="1"/>
    </xf>
    <xf numFmtId="1" fontId="8" fillId="37" borderId="21" xfId="0" applyNumberFormat="1" applyFont="1" applyFill="1" applyBorder="1"/>
    <xf numFmtId="1" fontId="1" fillId="36" borderId="30" xfId="2" applyNumberFormat="1" applyFont="1" applyFill="1" applyBorder="1" applyAlignment="1">
      <alignment horizontal="center" wrapText="1"/>
    </xf>
    <xf numFmtId="1" fontId="8" fillId="36" borderId="21" xfId="0" applyNumberFormat="1" applyFont="1" applyFill="1" applyBorder="1"/>
    <xf numFmtId="168" fontId="35" fillId="11" borderId="24" xfId="15" applyNumberFormat="1" applyFont="1" applyFill="1" applyBorder="1" applyAlignment="1">
      <alignment horizontal="center" wrapText="1"/>
    </xf>
    <xf numFmtId="168" fontId="36" fillId="11" borderId="24" xfId="15" applyNumberFormat="1" applyFont="1" applyFill="1" applyBorder="1" applyAlignment="1">
      <alignment horizontal="center" wrapText="1"/>
    </xf>
    <xf numFmtId="168" fontId="1" fillId="11" borderId="19" xfId="15" applyNumberFormat="1" applyFont="1" applyFill="1" applyBorder="1" applyAlignment="1"/>
    <xf numFmtId="168" fontId="3" fillId="0" borderId="0" xfId="15" applyNumberFormat="1"/>
    <xf numFmtId="168" fontId="1" fillId="11" borderId="0" xfId="2" applyNumberFormat="1" applyFont="1" applyFill="1" applyBorder="1" applyAlignment="1">
      <alignment horizontal="center" wrapText="1"/>
    </xf>
    <xf numFmtId="168" fontId="1" fillId="11" borderId="19" xfId="2" applyNumberFormat="1" applyFont="1" applyFill="1" applyBorder="1" applyAlignment="1">
      <alignment horizontal="center" wrapText="1"/>
    </xf>
    <xf numFmtId="168" fontId="8" fillId="11" borderId="19" xfId="0" applyNumberFormat="1" applyFont="1" applyFill="1" applyBorder="1"/>
    <xf numFmtId="168" fontId="0" fillId="0" borderId="0" xfId="0" applyNumberFormat="1"/>
    <xf numFmtId="166" fontId="3" fillId="18" borderId="23" xfId="17" applyNumberFormat="1" applyBorder="1" applyAlignment="1">
      <alignment horizontal="center" wrapText="1"/>
    </xf>
    <xf numFmtId="166" fontId="3" fillId="18" borderId="25" xfId="17" applyNumberFormat="1" applyBorder="1" applyAlignment="1">
      <alignment horizontal="center" wrapText="1"/>
    </xf>
    <xf numFmtId="1" fontId="3" fillId="23" borderId="26" xfId="12" applyNumberFormat="1" applyBorder="1" applyAlignment="1">
      <alignment horizontal="center" wrapText="1"/>
    </xf>
    <xf numFmtId="1" fontId="3" fillId="22" borderId="26" xfId="11" applyNumberFormat="1" applyBorder="1" applyAlignment="1">
      <alignment horizontal="center" wrapText="1"/>
    </xf>
    <xf numFmtId="0" fontId="3" fillId="25" borderId="26" xfId="14" applyBorder="1" applyAlignment="1">
      <alignment horizontal="center" wrapText="1"/>
    </xf>
    <xf numFmtId="0" fontId="3" fillId="25" borderId="27" xfId="14" applyBorder="1" applyAlignment="1">
      <alignment horizontal="center" wrapText="1"/>
    </xf>
    <xf numFmtId="1" fontId="27" fillId="14" borderId="26" xfId="4" applyNumberFormat="1" applyBorder="1" applyAlignment="1">
      <alignment horizontal="center" wrapText="1"/>
    </xf>
    <xf numFmtId="1" fontId="3" fillId="24" borderId="26" xfId="13" applyNumberFormat="1" applyBorder="1" applyAlignment="1">
      <alignment horizontal="center" wrapText="1"/>
    </xf>
    <xf numFmtId="1" fontId="3" fillId="21" borderId="0" xfId="10" applyNumberFormat="1" applyAlignment="1">
      <alignment horizontal="center"/>
    </xf>
    <xf numFmtId="1" fontId="3" fillId="23" borderId="0" xfId="12" applyNumberFormat="1" applyAlignment="1">
      <alignment horizontal="center" wrapText="1"/>
    </xf>
    <xf numFmtId="0" fontId="3" fillId="18" borderId="0" xfId="17" applyAlignment="1">
      <alignment horizontal="center"/>
    </xf>
  </cellXfs>
  <cellStyles count="24">
    <cellStyle name="40% - Accent1" xfId="8" builtinId="31"/>
    <cellStyle name="40% - Accent1 2" xfId="17" xr:uid="{A52EA3CD-ABA0-4937-8299-85126ADF0897}"/>
    <cellStyle name="40% - Accent2" xfId="10" builtinId="35"/>
    <cellStyle name="40% - Accent3" xfId="11" builtinId="39"/>
    <cellStyle name="40% - Accent4" xfId="12" builtinId="43"/>
    <cellStyle name="40% - Accent5" xfId="13" builtinId="47"/>
    <cellStyle name="60% - Accent6" xfId="14" builtinId="52"/>
    <cellStyle name="Accent1" xfId="18" builtinId="29"/>
    <cellStyle name="Accent2" xfId="19" builtinId="33"/>
    <cellStyle name="Accent3" xfId="20" builtinId="37"/>
    <cellStyle name="Accent4" xfId="21" builtinId="41"/>
    <cellStyle name="Accent5" xfId="22" builtinId="45"/>
    <cellStyle name="Accent6" xfId="23" builtinId="49"/>
    <cellStyle name="Bad" xfId="4" builtinId="27"/>
    <cellStyle name="Calculation" xfId="7" builtinId="22"/>
    <cellStyle name="Good" xfId="3" builtinId="26"/>
    <cellStyle name="Input" xfId="6" builtinId="20"/>
    <cellStyle name="Neutral" xfId="5" builtinId="28"/>
    <cellStyle name="Normal" xfId="0" builtinId="0"/>
    <cellStyle name="Normal 2" xfId="1" xr:uid="{6D0BDA07-7BC9-44B5-9B79-17E6DE0554FE}"/>
    <cellStyle name="Normal 3" xfId="2" xr:uid="{759B25EB-07B7-4BA4-A3A9-6E3198FF2F3C}"/>
    <cellStyle name="Normal 3 2" xfId="15" xr:uid="{42776202-BF60-4AF7-9798-07782517A3E1}"/>
    <cellStyle name="Normal 4" xfId="9" xr:uid="{4BDF303F-4CBE-43CE-A092-1314FD29758D}"/>
    <cellStyle name="Normal 4 2" xfId="16" xr:uid="{D71465B7-1F05-40C2-BF1D-2DAFCC509780}"/>
  </cellStyles>
  <dxfs count="17">
    <dxf>
      <fill>
        <patternFill patternType="solid">
          <fgColor rgb="FFFF9999"/>
          <bgColor rgb="FFFF9999"/>
        </patternFill>
      </fill>
    </dxf>
    <dxf>
      <fill>
        <patternFill patternType="solid">
          <fgColor rgb="FFFF9999"/>
          <bgColor rgb="FFFF9999"/>
        </patternFill>
      </fil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442F65"/>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FFFFFF"/>
        </left>
        <right style="thin">
          <color rgb="FFFFFFFF"/>
        </right>
        <top style="thin">
          <color rgb="FFFFFFFF"/>
        </top>
        <bottom style="thin">
          <color rgb="FFFFFFFF"/>
        </bottom>
        <vertical/>
        <horizontal/>
      </border>
    </dxf>
    <dxf>
      <font>
        <strike val="0"/>
        <outline val="0"/>
        <shadow val="0"/>
        <u val="none"/>
        <vertAlign val="baseline"/>
        <sz val="10"/>
        <color theme="0"/>
        <name val="Arial"/>
        <scheme val="minor"/>
      </font>
      <fill>
        <patternFill patternType="none">
          <fgColor indexed="64"/>
          <bgColor auto="1"/>
        </patternFill>
      </fill>
      <alignment textRotation="0" wrapText="1"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16"/>
      <tableStyleElement type="firstRowStripe" dxfId="15"/>
      <tableStyleElement type="secondRowStripe" dxfId="14"/>
    </tableStyle>
  </tableStyles>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calcChain" Target="calcChain.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EF16" headerRowDxfId="13">
  <tableColumns count="136">
    <tableColumn id="1" xr3:uid="{00000000-0010-0000-0000-000001000000}" name="Timestamp"/>
    <tableColumn id="4" xr3:uid="{00000000-0010-0000-0000-000004000000}" name="S."/>
    <tableColumn id="5" xr3:uid="{00000000-0010-0000-0000-000005000000}" name="Define a realistic target of how often and for how long it is acceptable for the mind to leave from the meditation object."/>
    <tableColumn id="6" xr3:uid="{00000000-0010-0000-0000-000006000000}" name="Define a realistic target for how long at least the mind is supposed to stay in a zone of productive meditation and/or wellbeing. "/>
    <tableColumn id="7" xr3:uid="{00000000-0010-0000-0000-000007000000}" name="Define a realistic target for how long the mind is supposed to remain on the meditation object. This can be measured either by distance on the walking path without wandering mind, or by measuring the time the mind stays on the object."/>
    <tableColumn id="8" xr3:uid="{00000000-0010-0000-0000-000008000000}" name="Define a target level of relaxation (the higher the better) or tension (the lower the better) during meditation."/>
    <tableColumn id="9" xr3:uid="{00000000-0010-0000-0000-000009000000}" name="Target level of a) bodily and b) mental energy."/>
    <tableColumn id="10" xr3:uid="{00000000-0010-0000-0000-00000A000000}" name="Score your ability to stick to the schedule e.g. Score from 1-10; _x000a_1 Being not being able to stick to the schedule at all, and 10 sticking to the schedule perfectly. "/>
    <tableColumn id="11" xr3:uid="{00000000-0010-0000-0000-00000B000000}" name="Define short and long-term goals in terms of hours of meditation a day/week/year/lifetime."/>
    <tableColumn id="12" xr3:uid="{00000000-0010-0000-0000-00000C000000}" name="How quickly can I enter the state of meditation and how quickly can I settle the mind, with the chosen mediation object. "/>
    <tableColumn id="13" xr3:uid="{00000000-0010-0000-0000-00000D000000}" name="How quickly can I overcome a negative state, hindrances, or let go of compulsive thoughts. "/>
    <tableColumn id="14" xr3:uid="{00000000-0010-0000-0000-00000E000000}" name="Scoring the strength and ability to maintain the jhana-factors. "/>
    <tableColumn id="15" xr3:uid="{00000000-0010-0000-0000-00000F000000}" name="Rate the presence or absence of specific cravings e.g. food, sex, sleeping, entertainment"/>
    <tableColumn id="16" xr3:uid="{00000000-0010-0000-0000-000010000000}" name="Define which of the bodhipakkhiyadhamma you wish to develop in the upcoming period e.g. equanimity, and daily/weekly/monthly rate your level on a scale from 1-10"/>
    <tableColumn id="17" xr3:uid="{00000000-0010-0000-0000-000011000000}" name="Define ultimate goals and rate your current state in relation to them:_x000a_- Unshakeable liberation of mind "/>
    <tableColumn id="18" xr3:uid="{00000000-0010-0000-0000-000012000000}" name="Define ultimate goals and rate your current state in relation to them:_x000a_- Overcoming any of the 10 fetters "/>
    <tableColumn id="19" xr3:uid="{00000000-0010-0000-0000-000013000000}" name="Score your level of inspiration: how am I motivated to meditate? If the inspiration level falls too low, identify why this is the case. Identify ways of remotivating oneself e.g. fulfilling my duties as a recipient of the dāna."/>
    <tableColumn id="20" xr3:uid="{00000000-0010-0000-0000-000014000000}" name="Score the current level of sensitivity of mindfulness to subtle phenomena, and how the mind reacts to them. "/>
    <tableColumn id="21" xr3:uid="{00000000-0010-0000-0000-000015000000}" name="P."/>
    <tableColumn id="22" xr3:uid="{00000000-0010-0000-0000-000016000000}" name="Scheduling the meditation periods throughout the day and sticking to that schedule (in order to increase the chances to set some time aside for meditation on a daily basis). - not meditating directly after eating - meditate with someone in front of you, o"/>
    <tableColumn id="23" xr3:uid="{00000000-0010-0000-0000-000017000000}" name="If resentment has arisen, it has a reason._x000a_If you can take an action (i.e. go to someone) to clear that resentment before the meditation it is good. If not, try to clear that resentment at the beginning of the meditation with a practice designed for that "/>
    <tableColumn id="24" xr3:uid="{00000000-0010-0000-0000-000018000000}" name="Have proper sleep i.e. Know your sleep-cycles and don’t force yourself to wake up when you are in deep sleep. Better to get complete sleep cycles (5 times 1.5 hours =7.5 hours), rather than incomplete cycles (eg. 5.5 times 1.5 hours = 8 hours 15 mins). (O"/>
    <tableColumn id="25" xr3:uid="{00000000-0010-0000-0000-000019000000}" name="See the needs of the mind in the present moment and adapt accordingly in relation to the goal e.g. antidote to hindrances"/>
    <tableColumn id="26" xr3:uid="{00000000-0010-0000-0000-00001A000000}" name="In case of possible unresolved issues, consider self-reconciliation or analysis, e.g. unresolved issues with loved ones, family members, oneself, unfinished chores, etc. Find a real solution or conclusive temporary reconciliation to each of the plaguing i"/>
    <tableColumn id="27" xr3:uid="{00000000-0010-0000-0000-00001B000000}" name="Use a mental device for putting aside distracting ideas/emotions such as an “Energy Conversion Box” that converts negative emotions to positive emotions "/>
    <tableColumn id="28" xr3:uid="{00000000-0010-0000-0000-00001C000000}" name="Work with an object that the mind does not fight against"/>
    <tableColumn id="29" xr3:uid="{00000000-0010-0000-0000-00001D000000}" name="Write down the obsessive ideas that arose in meditation, and follow up on them afterwards, so that the mind is willing to drop the idea in meditation. "/>
    <tableColumn id="30" xr3:uid="{00000000-0010-0000-0000-00001E000000}" name="Delineate a negative emotion/knot triggered by a precise occurrence that you would like to understand/untangle, and then reflect about it in terms of the 4 noble truths"/>
    <tableColumn id="31" xr3:uid="{00000000-0010-0000-0000-00001F000000}" name="Immediately Before Meditation_x000a_PHYSICAL ADJUSTMENTS_x000a_Suitable location-a secluded/clean/quiet location conducive for meditation. Try out different spots and choose a location that a person finds easy and comfortable to calm himself down and sit for long hou"/>
    <tableColumn id="32" xr3:uid="{00000000-0010-0000-0000-000020000000}" name="Immediately Before Meditation_x000a_PHYSICAL ADJUSTMENTS_x000a_Adjust the brightness of the light in the room in relation to the degree of drowsiness."/>
    <tableColumn id="33" xr3:uid="{00000000-0010-0000-0000-000021000000}" name="Immediately Before Meditation_x000a_PHYSICAL ADJUSTMENTS_x000a_Put the phone on silent/airplane mode AND out of hatthapasa in order not to be tempted to grasp it during the meditation"/>
    <tableColumn id="34" xr3:uid="{00000000-0010-0000-0000-000022000000}" name="Immediately Before Meditation_x000a_PHYSICAL ADJUSTMENTS_x000a_Avoid activities that strongly engage the thinking mind (like having a call with your dad, or doing some intense Pāli project…)"/>
    <tableColumn id="35" xr3:uid="{00000000-0010-0000-0000-000023000000}" name="Immediately Before Meditation_x000a_PHYSICAL ADJUSTMENTS_x000a_Set your seat with necessary comfort (cushions…) so that you are not disturbed by pain during the session"/>
    <tableColumn id="36" xr3:uid="{00000000-0010-0000-0000-000024000000}" name="Immediately Before Meditation_x000a_PHYSICAL ADJUSTMENTS_x000a_Avoid tight clothes. They should be loose and comfortable."/>
    <tableColumn id="37" xr3:uid="{00000000-0010-0000-0000-000025000000}" name="Immediately Before Meditation_x000a_PHYSICAL ADJUSTMENTS_x000a_Suitable sitting posture: cross-legged/full lotus/semi lotus or any other postures that allow a relaxed and comfortable sitting. It is important to make an effort to figure out a conducive posture that wo"/>
    <tableColumn id="38" xr3:uid="{00000000-0010-0000-0000-000026000000}" name="Immediately Before Meditation_x000a_PHYSICAL ADJUSTMENTS_x000a_Upright body with erected head and neck - find ways that allow oneself to sit upright, which means each one of the backbones sit horizontally on top of each other without straining from either forward or "/>
    <tableColumn id="39" xr3:uid="{00000000-0010-0000-0000-000027000000}" name="Immediately Before Meditation_x000a_PHYSICAL ADJUSTMENTS_x000a_Gently place both palms on one’s lap or on the knees or other body parts."/>
    <tableColumn id="40" xr3:uid="{00000000-0010-0000-0000-000028000000}" name="Immediately Before Meditation_x000a_PHYSICAL ADJUSTMENTS_x000a_If one feels tired and sleepy, it’d be advisable to try out taking a nap."/>
    <tableColumn id="41" xr3:uid="{00000000-0010-0000-0000-000029000000}" name="Immediately Before Meditation_x000a_MENTAL ADJUSTMENTS_x000a_Structured meditation plan (mental map of the upcoming sit)_x000a_- Selecting a practice based on the environment, e.g. open awareness while travelling; anapanassati in your kuti._x000a_"/>
    <tableColumn id="133" xr3:uid="{00000000-0010-0000-0000-000085000000}" name="Immediately Before Meditation_x000a_MENTAL ADJUSTMENTS_x000a_Structured meditation plan (mental map of the upcoming sit)_x000a_- Suitable and specific time - choose and allocate a fixed time slot conducive for meditation and stick to it. It may develop into a habit and men" dataDxfId="12"/>
    <tableColumn id="134" xr3:uid="{00000000-0010-0000-0000-000086000000}" name="Immediately Before Meditation_x000a_MENTAL ADJUSTMENTS_x000a_Structured meditation plan (mental map of the upcoming sit)_x000a_- Be prepared how to handle different distractions." dataDxfId="11"/>
    <tableColumn id="135" xr3:uid="{00000000-0010-0000-0000-000087000000}" name="Immediately Before Meditation_x000a_MENTAL ADJUSTMENTS_x000a_Structured meditation plan (mental map of the upcoming sit)_x000a_- Divide the session into several smaller chunks with different durations and targets (e.g. gratitude first for 10 minutes, then samatha for 20 mi" dataDxfId="10"/>
    <tableColumn id="136" xr3:uid="{00000000-0010-0000-0000-000088000000}" name="Immediately Before Meditation_x000a_MENTAL ADJUSTMENTS_x000a_Structured meditation plan (mental map of the upcoming sit)_x000a_- Bring some diversity in the practice to avoid monotony, which may lead to loss of focus or interest." dataDxfId="9"/>
    <tableColumn id="137" xr3:uid="{00000000-0010-0000-0000-000089000000}" name="Immediately Before Meditation_x000a_MENTAL ADJUSTMENTS_x000a_Structured meditation plan (mental map of the upcoming sit)_x000a_- Start the meditation session with a short period of metta practice, which has been shown to be extremely useful to rapidly relax physically and " dataDxfId="8"/>
    <tableColumn id="138" xr3:uid="{00000000-0010-0000-0000-00008A000000}" name="During Meditation_x000a_At the beginning of the sitting, make a mental determination to use your time as best as you can_x000a_- When a “great” idea arises during meditation, make a mental note to think about it later instead of during the session " dataDxfId="7"/>
    <tableColumn id="42" xr3:uid="{00000000-0010-0000-0000-00002A000000}" name="Immediately Before Meditation_x000a_MENTAL ADJUSTMENTS_x000a_Find a tool that helps to settle the mind quickly e.g. qigong, recitation &amp; breathing, a shower, self-massage; relaxing one’s body from head to toe. Apply any allowable technique that might help to relax on"/>
    <tableColumn id="43" xr3:uid="{00000000-0010-0000-0000-00002B000000}" name="Immediately Before Meditation_x000a_MENTAL ADJUSTMENTS_x000a_For recurrent thoughts, write down a to-think-later list to come back to at a later occasion."/>
    <tableColumn id="44" xr3:uid="{00000000-0010-0000-0000-00002C000000}" name="Immediately Before Meditation_x000a_MENTAL ADJUSTMENTS_x000a_Review and renew motivation for practice with inspiring quotes or a pep talk; remember why you practice."/>
    <tableColumn id="45" xr3:uid="{00000000-0010-0000-0000-00002D000000}" name="Immediately Before Meditation_x000a_MENTAL ADJUSTMENTS_x000a_Be clear about the purpose of that particular meditation session."/>
    <tableColumn id="46" xr3:uid="{00000000-0010-0000-0000-00002E000000}" name="Immediately Before Meditation_x000a_MENTAL ADJUSTMENTS_x000a_Consider making strong resolutions for periods of intense undistracted focus."/>
    <tableColumn id="47" xr3:uid="{00000000-0010-0000-0000-00002F000000}" name="During Meditation_x000a_At the beginning of the sitting, make a mental determination to use your time as best as you can_x000a_- By putting aside any sticky, past &amp; future thoughts"/>
    <tableColumn id="49" xr3:uid="{00000000-0010-0000-0000-000031000000}" name="During Meditation_x000a_Adjust the posture according to circumstances (straight back helps focus and prevents sleepiness, do walking meditation if agitation or lust is present…)"/>
    <tableColumn id="50" xr3:uid="{00000000-0010-0000-0000-000032000000}" name="During Meditation_x000a_Breathe a bit more strongly / hold your breath / breathe less / tranquilizing the breath"/>
    <tableColumn id="51" xr3:uid="{00000000-0010-0000-0000-000033000000}" name="During Meditation_x000a_Note when the meditation is out of momentum and no longer effective (quality over quantity) and stop meditating or take a break at that time"/>
    <tableColumn id="52" xr3:uid="{00000000-0010-0000-0000-000034000000}" name="During Meditation_x000a_Use a timer set at short intervals to remind one to be mindful"/>
    <tableColumn id="53" xr3:uid="{00000000-0010-0000-0000-000035000000}" name="During Meditation_x000a_Take short breaks when necessary (water, posture adjustment, bathroom)"/>
    <tableColumn id="54" xr3:uid="{00000000-0010-0000-0000-000036000000}" name="During Meditation_x000a_Try to overcome, but don’t be disturbed by wandering thoughts. Develop different skills to handle different types of wandering thoughts. E.g. counting methods, or a reconciliatory/persuasive approach with emerging thoughts. The former on"/>
    <tableColumn id="55" xr3:uid="{00000000-0010-0000-0000-000037000000}" name="During Meditation_x000a_Be aware of the present moment; even when contemplating the past, one knows one is contemplating at the present moment. " dataDxfId="6"/>
    <tableColumn id="141" xr3:uid="{9A0C7525-99EC-4254-BBE3-2A054CDB70EC}" name="I." dataDxfId="5"/>
    <tableColumn id="2" xr3:uid="{00000000-0010-0000-0000-000002000000}" name="Attitudes_x000a_Be mindful of and equanimous regarding any disturbances or wandering thoughts._x000a_" dataDxfId="4"/>
    <tableColumn id="56" xr3:uid="{00000000-0010-0000-0000-000038000000}" name="Attitudes_x000a_Maintain a positive outlook no matter if our results match our expectations or not_x000a_"/>
    <tableColumn id="57" xr3:uid="{00000000-0010-0000-0000-000039000000}" name="Periodically check to see changes during meditation _x000a__x000a_Bodily measurements to see how the meditation is going:_x000a_1. Is the breath calming_x000a_2. increase or decrease in tension_x000a_3. tracking heart rate_x000a_4. Checking of posture: chin tucked or not, slouching or strai"/>
    <tableColumn id="58" xr3:uid="{00000000-0010-0000-0000-00003A000000}" name="Periodically check to see changes during meditation _x000a_Texture of the mind_x000a_1. Clear or dull (not to confuse dullness with samadhi)_x000a_2. contracted or expanded (could use clarification)_x000a_3. stuck or flowing_x000a_4. wholesome or unwholesome_x000a_5. Hindrances: when using "/>
    <tableColumn id="59" xr3:uid="{00000000-0010-0000-0000-00003B000000}" name="Periodically check to see changes during meditation _x000a_Thoughts_x000a_1. quantity_x000a_2. wholesomeness_x000a_3. duration_x000a_4. gap between thoughts_x000a_"/>
    <tableColumn id="60" xr3:uid="{00000000-0010-0000-0000-00003C000000}" name="Periodically check to see changes during meditation _x000a_Energy level_x000a_1. Nodding 3 times may indicate strong drowsiness _x000a_2. How effortful is it to stay attentive to object? Measure the duration and intensity of effort during meditation time._x000a_"/>
    <tableColumn id="61" xr3:uid="{00000000-0010-0000-0000-00003D000000}" name="Periodically check to see changes during meditation _x000a_Measure how long does the mind stay in the discomfort zone_x000a_"/>
    <tableColumn id="62" xr3:uid="{00000000-0010-0000-0000-00003E000000}" name="Periodically check to see changes during meditation _x000a_Flexibility towards methods–posture, meditation approach, etc. _x000a_"/>
    <tableColumn id="63" xr3:uid="{00000000-0010-0000-0000-00003F000000}" name="Periodically check to see changes during meditation _x000a_Willingness to try out different aspects of meditation and figure out one that suits oneself._x000a_"/>
    <tableColumn id="64" xr3:uid="{00000000-0010-0000-0000-000040000000}" name="Periodically check to see changes during meditation _x000a_When a challenge or difficult decision needs to be made, reflect on what the Buddha might advise _x000a_"/>
    <tableColumn id="65" xr3:uid="{00000000-0010-0000-0000-000041000000}" name="After Meditation_x000a_Was the body comfortable?_x000a_"/>
    <tableColumn id="66" xr3:uid="{00000000-0010-0000-0000-000042000000}" name="After Meditation_x000a_number of times that one successfully returned to the meditation object this session_x000a_"/>
    <tableColumn id="67" xr3:uid="{00000000-0010-0000-0000-000043000000}" name="After Meditation_x000a_keep notes in a journal to see if there is an overall improvement. _x000a_1. strengths of e.g. piti-sukha on a scale, _x000a_2. number and quality of insights, etc._x000a_3. the energy level _x000a_4. Type of 5 hindrances (or other quality that we want to reduce"/>
    <tableColumn id="68" xr3:uid="{00000000-0010-0000-0000-000044000000}" name="After Meditation_x000a_Check the quality of the mind before, during and after meditation. Has there been any change in certain qualities one wishes to train?_x000a_"/>
    <tableColumn id="69" xr3:uid="{00000000-0010-0000-0000-000045000000}" name="After Meditation_x000a_How long does the effect of a practice last after a session? - Mindfulness, loving kindness, dispassion with the body or being free of lust according to Asubha…_x000a_"/>
    <tableColumn id="70" xr3:uid="{00000000-0010-0000-0000-000046000000}" name="After Meditation_x000a_Do a post-meditation checklist of important qualities (sukha, piti, upekkha, presence of wholesome or unwholesome states, pleasant, unpleasant or neutral feelings)_x000a_"/>
    <tableColumn id="71" xr3:uid="{00000000-0010-0000-0000-000047000000}" name="After Meditation_x000a_Does this meditation session make me more willing and interested to meditate more in the future?_x000a_"/>
    <tableColumn id="72" xr3:uid="{00000000-0010-0000-0000-000048000000}" name="Daily life_x000a_How is the level of faith eg. while bowing_x000a_"/>
    <tableColumn id="73" xr3:uid="{00000000-0010-0000-0000-000049000000}" name="Daily life_x000a_How often does anger come up when one has practised mettā, samatha, mindfulness_x000a_"/>
    <tableColumn id="74" xr3:uid="{00000000-0010-0000-0000-00004A000000}" name="Daily life_x000a_Baseline state of mind eg. wholesome or unwholesome_x000a_1. Overall kindness, openness, and lessening sense of self are markers of improvement_x000a_2. Compared to my previous development, do I get over troubles more quickly and with less difficulty_x000a_"/>
    <tableColumn id="76" xr3:uid="{00000000-0010-0000-0000-00004C000000}" name="Daily life_x000a_A mind that delights in non-proliferation can be used as a marker for positive feedback_x000a_"/>
    <tableColumn id="77" xr3:uid="{00000000-0010-0000-0000-00004D000000}" name="Daily life_x000a_sense of confidence and independence in meditation is a sign of improvement_x000a_"/>
    <tableColumn id="79" xr3:uid="{00000000-0010-0000-0000-00004F000000}" name="Daily life_x000a_Review weekly or monthly and evaluate the correlation between quality of our meditation and  _x000a_1. daily activities, _x000a_2. exercise, _x000a_3. coffee, _x000a_4. family interactions,_x000a_5. social interactions, _x000a_6. sleep and naps,  _x000a_7. breathwork_x000a__x000a_8. nocturnal emis"/>
    <tableColumn id="80" xr3:uid="{00000000-0010-0000-0000-000050000000}" name="How to monitor long-term results_x000a_Is one’s depth of understanding kusala and akusala deepening_x000a_"/>
    <tableColumn id="81" xr3:uid="{00000000-0010-0000-0000-000051000000}" name="How to monitor long-term results_x000a_When we are aware of our own mind (cittānupassana) and see if kusala is increasing and akusala is decreasing_x000a_"/>
    <tableColumn id="82" xr3:uid="{00000000-0010-0000-0000-000052000000}" name="How to monitor long-term results_x000a_See if mindfulness is increasing in conversation, eg. non-reactivity, etc._x000a_"/>
    <tableColumn id="83" xr3:uid="{00000000-0010-0000-0000-000053000000}" name="How to monitor long-term results_x000a_relate to the future positively eg. resilience, optimism_x000a_"/>
    <tableColumn id="48" xr3:uid="{2EB8DF5B-A99C-4DFA-8772-978F36B603D3}" name="C." dataDxfId="3"/>
    <tableColumn id="84" xr3:uid="{00000000-0010-0000-0000-000054000000}" name="Practical Advice and Examples_x000a_Alternate between contemplative effort and non-contemplative activities (like going for a relaxing walk or mending robes)_x000a_"/>
    <tableColumn id="85" xr3:uid="{00000000-0010-0000-0000-000055000000}" name="Practical Advice and Examples_x000a_Make the periods of discomfort welcoming. This can be something like setting up your meditation spot before leaving the kuti so that it welcomes a supporting environment on your return._x000a_"/>
    <tableColumn id="86" xr3:uid="{00000000-0010-0000-0000-000056000000}" name="Practical Advice and Examples_x000a_When cycling between comfort and discomfort, changing environments as a signal can help create a mental representation of “the place where I am at peace” (walking in nature) and “the place where I do my best work” (classroom "/>
    <tableColumn id="87" xr3:uid="{00000000-0010-0000-0000-000057000000}" name="Practical Advice and Examples_x000a_Clearly emphasize the end time of the session "/>
    <tableColumn id="88" xr3:uid="{00000000-0010-0000-0000-000058000000}" name="Practical Advice and Examples_x000a_Consider different scales of cycling e.g. minutely vs. hourly vs. daily vs. weekly, monthly etc."/>
    <tableColumn id="89" xr3:uid="{00000000-0010-0000-0000-000059000000}" name="Principles and Attitude_x000a_When resting/taking breaks, engage with things that give energy and joy "/>
    <tableColumn id="90" xr3:uid="{00000000-0010-0000-0000-00005A000000}" name="Principles and Attitude_x000a_Familiarize yourself with what it means when your store of energy is used up, and make sure to stop when you become aware of that feeling during the period of intense focused practice."/>
    <tableColumn id="91" xr3:uid="{00000000-0010-0000-0000-00005B000000}" name="Principles and Attitude_x000a_Be aware of what it feels like to be too complacent or too forceful, and use those as a signal to switch to another phase."/>
    <tableColumn id="92" xr3:uid="{00000000-0010-0000-0000-00005C000000}" name="Principles and Attitude_x000a_Use breaks as periods of refreshment rather than gratification. It’s not about punishment and reward, but about using energy wisely."/>
    <tableColumn id="93" xr3:uid="{00000000-0010-0000-0000-00005D000000}" name="Principles and Attitude_x000a_Reward oneself with something wholesome and pleasant if one is able to maintain the focus for a defined duration"/>
    <tableColumn id="94" xr3:uid="{00000000-0010-0000-0000-00005E000000}" name="Principles and Attitude_x000a_Use the experience of the discomfort cycle as an opportunity to grow."/>
    <tableColumn id="95" xr3:uid="{00000000-0010-0000-0000-00005F000000}" name="Practice_x000a_Alternate between different postures of meditation, both comfortable and uncomfortable. For example; sitting meditation followed by walking meditation. The purpose is to develop versatility in mindfulness and concentration."/>
    <tableColumn id="96" xr3:uid="{00000000-0010-0000-0000-000060000000}" name="Practice_x000a_After serious intense meditation, reward yourself with something more relaxing. Lying down, cleaning kuti, reading, planning future projects, walking, swimming, watching Dhamma related documentaries are some examples."/>
    <tableColumn id="97" xr3:uid="{00000000-0010-0000-0000-000061000000}" name="Practice_x000a_Regularly push beyond one’s limit by trying to achieve a longer quality-meditation period. "/>
    <tableColumn id="98" xr3:uid="{00000000-0010-0000-0000-000062000000}" name="Practice_x000a_Avoid doing the same practice in a more habitual way, but instead change to a different meditation object."/>
    <tableColumn id="99" xr3:uid="{00000000-0010-0000-0000-000063000000}" name="Practice_x000a_Insert various short breaks between a formal meditation period to keep it fresh. Instead of a full 2 hour meditation session, one can have several 25 minute sessions, with 5 minute breaks. During the 5-minute break, the meditator remains on the s"/>
    <tableColumn id="100" xr3:uid="{00000000-0010-0000-0000-000064000000}" name="Practice_x000a_Consider cycling between staying in a kuti, and staying in a cave or new environment which is less comfortable. Or cycling between sitting/walking meditation inside vs.  outside."/>
    <tableColumn id="101" xr3:uid="{00000000-0010-0000-0000-000065000000}" name="Practice_x000a_Meditating in solitude for comfort vs. meditating in a communal space for discomfort or vice versa."/>
    <tableColumn id="102" xr3:uid="{00000000-0010-0000-0000-000066000000}" name="Practice_x000a_Usual amount of social interaction (subjective to you) for comfort vs. reduced/increased amount of social interaction for discomfort."/>
    <tableColumn id="103" xr3:uid="{00000000-0010-0000-0000-000067000000}" name="Practice_x000a_Usual amount of food for comfort vs. less than usual amount of food for discomfort while not going too extreme."/>
    <tableColumn id="75" xr3:uid="{97F975E2-30C7-4BB4-8876-08923F30CB1B}" name="E" dataDxfId="2"/>
    <tableColumn id="104" xr3:uid="{00000000-0010-0000-0000-000068000000}" name="Finding or changing teacher_x000a_A teacher should function as a living example and an inspiring role model of successful spiritual practice"/>
    <tableColumn id="105" xr3:uid="{00000000-0010-0000-0000-000069000000}" name="Finding or changing teacher_x000a_find a teacher who is a good fit_x000a_- In the beginning, the foremost expert teacher might not be necessary._x000a_- As we progress in our skill level, a more expert teacher becomes increasingly important"/>
    <tableColumn id="106" xr3:uid="{00000000-0010-0000-0000-00006A000000}" name="Finding or changing teacher_x000a_Do they have what you want to develop? What do you lack?"/>
    <tableColumn id="107" xr3:uid="{00000000-0010-0000-0000-00006B000000}" name="Finding or changing teacher_x000a_What is the success rate of their students?"/>
    <tableColumn id="108" xr3:uid="{00000000-0010-0000-0000-00006C000000}" name="Finding or changing teacher_x000a_Having evaluated the difficulties one has had with a previous teacher, choose a teacher with more compatible qualities next time."/>
    <tableColumn id="109" xr3:uid="{00000000-0010-0000-0000-00006D000000}" name="The Role of Expert Coaching in Dhamma-Meditation Practice Helps to:_x000a_Establish appropriate student/teacher relationship _x000a_- Evaluate the student’s place on the path_x000a_-  Identify compatibility between teacher and student_x000a_- Understand the student’s feelings, w"/>
    <tableColumn id="110" xr3:uid="{00000000-0010-0000-0000-00006E000000}" name="The Role of Expert Coaching in Dhamma-Meditation Practice Helps to:_x000a_Maintain the relationship_x000a_- Keep balance between respect and friendliness_x000a_- Provide conducive material and spiritual conditions for the practice (in the right time and measure)_x000a_- Provide "/>
    <tableColumn id="111" xr3:uid="{00000000-0010-0000-0000-00006F000000}" name="The Role of Expert Coaching in Dhamma-Meditation Practice Helps to:_x000a_Develop a relationship_x000a_- Raises expectations and gradually increases the challenges in the practice_x000a_- Helps students to become independent and self-reliant"/>
    <tableColumn id="112" xr3:uid="{00000000-0010-0000-0000-000070000000}" name="Passing on Mental Representations_x000a_An expert coach should know for themselves what different aspects of meditation looks or feels like"/>
    <tableColumn id="113" xr3:uid="{00000000-0010-0000-0000-000071000000}" name="Passing on Mental Representations_x000a_This may be conveyed with similes that highlight the most important features"/>
    <tableColumn id="114" xr3:uid="{00000000-0010-0000-0000-000072000000}" name="Passing on Mental Representations_x000a_Specify the definition of “good / desirable meditation” (mental representation) so one can compare their actual performance with the desired performance after meditation, and then give a score. Update the scoring system a"/>
    <tableColumn id="115" xr3:uid="{00000000-0010-0000-0000-000073000000}" name="Passing on Mental Representations_x000a_Ideally the essential parts of the representations will be emphasized while the inessential parts are recognized as such"/>
    <tableColumn id="116" xr3:uid="{00000000-0010-0000-0000-000074000000}" name="Passing on Mental Representations_x000a_A great teacher will also be able to guide the students in the direction of finding their own sufficient mental representations without necessarily trying to copy the teacher’s"/>
    <tableColumn id="117" xr3:uid="{00000000-0010-0000-0000-000075000000}" name="Promoting a Conducive Learning Environment_x000a_A great teacher/coach is not only someone who pours knowledge into students’ heads, but is also one who provides an environment where students are able to learn for themselves. "/>
    <tableColumn id="118" xr3:uid="{00000000-0010-0000-0000-000076000000}" name="Promoting a Conducive Learning Environment_x000a_A teacher very skilled in this area would have a good idea not only of the strengths and weaknesses of their students but also how to arrange them by recognizing who works well together, or not, those who complem"/>
    <tableColumn id="119" xr3:uid="{00000000-0010-0000-0000-000077000000}" name="Promoting a Conducive Learning Environment_x000a_Keeping up beneficial group morale "/>
    <tableColumn id="120" xr3:uid="{00000000-0010-0000-0000-000078000000}" name="Promoting a Conducive Learning Environment_x000a_Promote self-accountability (hirottappa) "/>
    <tableColumn id="121" xr3:uid="{00000000-0010-0000-0000-000079000000}" name="Promoting a Conducive Learning Environment_x000a_Encouraging a simple and aloof life close to nature"/>
    <tableColumn id="122" xr3:uid="{00000000-0010-0000-0000-00007A000000}" name="Teachers with these qualities can be considered an expert coach_x000a_Allowing and recommending a secondary teacher (who can complement the main teacher) can help focusing on a specific skill (Jhāna, Vipassana etc….) for a shorter period of time (ex. like medit"/>
    <tableColumn id="123" xr3:uid="{00000000-0010-0000-0000-00007B000000}" name="Teachers with these qualities can be considered an expert coach_x000a_Pointing to co-monastics as a source of friendship, motivation, conversation, and inspiration, to ensure that one is staying on the right path"/>
    <tableColumn id="124" xr3:uid="{00000000-0010-0000-0000-00007C000000}" name="Teachers with these qualities can be considered an expert coach_x000a_Flexibility and ability to change various meditation techniques for producing fast optimal results. Adaptivity to current needs of the student."/>
    <tableColumn id="125" xr3:uid="{00000000-0010-0000-0000-00007D000000}" name="Teachers with these qualities can be considered an expert coach_x000a_A teacher neither involves himself nor his students in too many projects, and makes sure they stay on track with their meditation"/>
    <tableColumn id="126" xr3:uid="{00000000-0010-0000-0000-00007E000000}" name="Teachers with these qualities can be considered an expert coach_x000a_Making himself available and accessible to his students."/>
    <tableColumn id="127" xr3:uid="{00000000-0010-0000-0000-00007F000000}" name="Aside from the Teacher_x000a_Meditation apps can provide important tips and reminders and one can select on a meditation theme conducive to one’s needs"/>
    <tableColumn id="128" xr3:uid="{00000000-0010-0000-0000-000080000000}" name="Aside from the Teacher_x000a_Physical &amp; Virtual communities can help to straighten out some misunderstandings (or increase them)"/>
    <tableColumn id="129" xr3:uid="{00000000-0010-0000-0000-000081000000}" name="Aside from the Teacher_x000a_Your enemy or “cold friend” can be your best teacher: they’ll give you a very clear feedback when you are out of track or being unskillful in speech."/>
    <tableColumn id="130" xr3:uid="{00000000-0010-0000-0000-000082000000}" name="Aside from the Teacher_x000a_Ask for feedback or observations about your meditation posture from other meditators."/>
    <tableColumn id="131" xr3:uid="{00000000-0010-0000-0000-000083000000}" name="Aside from the Teacher_x000a_A person who knows you very well and points out your defilement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7.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9.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F16"/>
  <sheetViews>
    <sheetView topLeftCell="AW1" workbookViewId="0">
      <pane ySplit="1" topLeftCell="AW2" activePane="bottomLeft" state="frozen"/>
      <selection activeCell="AW1" sqref="AW1"/>
      <selection pane="bottomLeft" activeCell="BG1" sqref="BG1"/>
    </sheetView>
  </sheetViews>
  <sheetFormatPr defaultColWidth="12.40625" defaultRowHeight="15.75" customHeight="1" x14ac:dyDescent="0.15"/>
  <cols>
    <col min="1" max="1" width="17.80078125" bestFit="1" customWidth="1"/>
    <col min="2" max="2" width="2.828125" bestFit="1" customWidth="1"/>
    <col min="3" max="136" width="24.8125" customWidth="1"/>
    <col min="143" max="148" width="18.87890625" customWidth="1"/>
  </cols>
  <sheetData>
    <row r="1" spans="1:136" s="24" customFormat="1" ht="147" customHeight="1" x14ac:dyDescent="0.15">
      <c r="A1" s="21" t="s">
        <v>0</v>
      </c>
      <c r="B1" s="20" t="s">
        <v>2</v>
      </c>
      <c r="C1" s="20" t="s">
        <v>3</v>
      </c>
      <c r="D1" s="20" t="s">
        <v>4</v>
      </c>
      <c r="E1" s="20" t="s">
        <v>5</v>
      </c>
      <c r="F1" s="20" t="s">
        <v>6</v>
      </c>
      <c r="G1" s="20" t="s">
        <v>7</v>
      </c>
      <c r="H1" s="20" t="s">
        <v>8</v>
      </c>
      <c r="I1" s="20" t="s">
        <v>9</v>
      </c>
      <c r="J1" s="20" t="s">
        <v>10</v>
      </c>
      <c r="K1" s="20" t="s">
        <v>11</v>
      </c>
      <c r="L1" s="20" t="s">
        <v>12</v>
      </c>
      <c r="M1" s="20" t="s">
        <v>13</v>
      </c>
      <c r="N1" s="20" t="s">
        <v>14</v>
      </c>
      <c r="O1" s="20" t="s">
        <v>15</v>
      </c>
      <c r="P1" s="20" t="s">
        <v>16</v>
      </c>
      <c r="Q1" s="20" t="s">
        <v>17</v>
      </c>
      <c r="R1" s="20" t="s">
        <v>18</v>
      </c>
      <c r="S1" s="22" t="s">
        <v>19</v>
      </c>
      <c r="T1" s="25" t="s">
        <v>111</v>
      </c>
      <c r="U1" s="20" t="s">
        <v>112</v>
      </c>
      <c r="V1" s="25" t="s">
        <v>113</v>
      </c>
      <c r="W1" s="20" t="s">
        <v>20</v>
      </c>
      <c r="X1" s="25" t="s">
        <v>114</v>
      </c>
      <c r="Y1" s="20" t="s">
        <v>21</v>
      </c>
      <c r="Z1" s="20" t="s">
        <v>22</v>
      </c>
      <c r="AA1" s="20" t="s">
        <v>23</v>
      </c>
      <c r="AB1" s="20" t="s">
        <v>24</v>
      </c>
      <c r="AC1" s="20" t="s">
        <v>115</v>
      </c>
      <c r="AD1" s="20" t="s">
        <v>25</v>
      </c>
      <c r="AE1" s="20" t="s">
        <v>26</v>
      </c>
      <c r="AF1" s="20" t="s">
        <v>27</v>
      </c>
      <c r="AG1" s="20" t="s">
        <v>28</v>
      </c>
      <c r="AH1" s="20" t="s">
        <v>29</v>
      </c>
      <c r="AI1" s="20" t="s">
        <v>116</v>
      </c>
      <c r="AJ1" s="20" t="s">
        <v>117</v>
      </c>
      <c r="AK1" s="20" t="s">
        <v>30</v>
      </c>
      <c r="AL1" s="20" t="s">
        <v>31</v>
      </c>
      <c r="AM1" s="20" t="s">
        <v>32</v>
      </c>
      <c r="AN1" s="20" t="s">
        <v>131</v>
      </c>
      <c r="AO1" s="20" t="s">
        <v>107</v>
      </c>
      <c r="AP1" s="20" t="s">
        <v>132</v>
      </c>
      <c r="AQ1" s="20" t="s">
        <v>108</v>
      </c>
      <c r="AR1" s="20" t="s">
        <v>133</v>
      </c>
      <c r="AS1" s="23" t="s">
        <v>109</v>
      </c>
      <c r="AT1" s="20" t="s">
        <v>118</v>
      </c>
      <c r="AU1" s="20" t="s">
        <v>33</v>
      </c>
      <c r="AV1" s="20" t="s">
        <v>34</v>
      </c>
      <c r="AW1" s="20" t="s">
        <v>35</v>
      </c>
      <c r="AX1" s="20" t="s">
        <v>36</v>
      </c>
      <c r="AY1" s="20" t="s">
        <v>37</v>
      </c>
      <c r="AZ1" s="20" t="s">
        <v>38</v>
      </c>
      <c r="BA1" s="20" t="s">
        <v>39</v>
      </c>
      <c r="BB1" s="20" t="s">
        <v>40</v>
      </c>
      <c r="BC1" s="20" t="s">
        <v>41</v>
      </c>
      <c r="BD1" s="20" t="s">
        <v>42</v>
      </c>
      <c r="BE1" s="20" t="s">
        <v>119</v>
      </c>
      <c r="BF1" s="20" t="s">
        <v>43</v>
      </c>
      <c r="BG1" s="20" t="s">
        <v>134</v>
      </c>
      <c r="BH1" s="20" t="s">
        <v>1</v>
      </c>
      <c r="BI1" s="20" t="s">
        <v>44</v>
      </c>
      <c r="BJ1" s="20" t="s">
        <v>120</v>
      </c>
      <c r="BK1" s="20" t="s">
        <v>121</v>
      </c>
      <c r="BL1" s="20" t="s">
        <v>45</v>
      </c>
      <c r="BM1" s="20" t="s">
        <v>46</v>
      </c>
      <c r="BN1" s="20" t="s">
        <v>47</v>
      </c>
      <c r="BO1" s="20" t="s">
        <v>48</v>
      </c>
      <c r="BP1" s="20" t="s">
        <v>49</v>
      </c>
      <c r="BQ1" s="20" t="s">
        <v>50</v>
      </c>
      <c r="BR1" s="20" t="s">
        <v>51</v>
      </c>
      <c r="BS1" s="20" t="s">
        <v>52</v>
      </c>
      <c r="BT1" s="20" t="s">
        <v>122</v>
      </c>
      <c r="BU1" s="20" t="s">
        <v>53</v>
      </c>
      <c r="BV1" s="20" t="s">
        <v>54</v>
      </c>
      <c r="BW1" s="20" t="s">
        <v>55</v>
      </c>
      <c r="BX1" s="20" t="s">
        <v>56</v>
      </c>
      <c r="BY1" s="20" t="s">
        <v>57</v>
      </c>
      <c r="BZ1" s="20" t="s">
        <v>58</v>
      </c>
      <c r="CA1" s="20" t="s">
        <v>59</v>
      </c>
      <c r="CB1" s="20" t="s">
        <v>60</v>
      </c>
      <c r="CC1" s="20" t="s">
        <v>61</v>
      </c>
      <c r="CD1" s="20" t="s">
        <v>123</v>
      </c>
      <c r="CE1" s="20" t="s">
        <v>62</v>
      </c>
      <c r="CF1" s="20" t="s">
        <v>63</v>
      </c>
      <c r="CG1" s="20" t="s">
        <v>64</v>
      </c>
      <c r="CH1" s="20" t="s">
        <v>65</v>
      </c>
      <c r="CI1" s="20" t="s">
        <v>136</v>
      </c>
      <c r="CJ1" s="20" t="s">
        <v>66</v>
      </c>
      <c r="CK1" s="20" t="s">
        <v>67</v>
      </c>
      <c r="CL1" s="20" t="s">
        <v>124</v>
      </c>
      <c r="CM1" s="20" t="s">
        <v>68</v>
      </c>
      <c r="CN1" s="20" t="s">
        <v>69</v>
      </c>
      <c r="CO1" s="20" t="s">
        <v>70</v>
      </c>
      <c r="CP1" s="20" t="s">
        <v>71</v>
      </c>
      <c r="CQ1" s="20" t="s">
        <v>72</v>
      </c>
      <c r="CR1" s="20" t="s">
        <v>73</v>
      </c>
      <c r="CS1" s="20" t="s">
        <v>74</v>
      </c>
      <c r="CT1" s="20" t="s">
        <v>75</v>
      </c>
      <c r="CU1" s="20" t="s">
        <v>76</v>
      </c>
      <c r="CV1" s="20" t="s">
        <v>77</v>
      </c>
      <c r="CW1" s="20" t="s">
        <v>78</v>
      </c>
      <c r="CX1" s="20" t="s">
        <v>79</v>
      </c>
      <c r="CY1" s="20" t="s">
        <v>125</v>
      </c>
      <c r="CZ1" s="20" t="s">
        <v>80</v>
      </c>
      <c r="DA1" s="20" t="s">
        <v>81</v>
      </c>
      <c r="DB1" s="20" t="s">
        <v>82</v>
      </c>
      <c r="DC1" s="20" t="s">
        <v>83</v>
      </c>
      <c r="DD1" s="20" t="s">
        <v>135</v>
      </c>
      <c r="DE1" s="20" t="s">
        <v>84</v>
      </c>
      <c r="DF1" s="20" t="s">
        <v>85</v>
      </c>
      <c r="DG1" s="20" t="s">
        <v>86</v>
      </c>
      <c r="DH1" s="20" t="s">
        <v>87</v>
      </c>
      <c r="DI1" s="20" t="s">
        <v>88</v>
      </c>
      <c r="DJ1" s="20" t="s">
        <v>126</v>
      </c>
      <c r="DK1" s="20" t="s">
        <v>127</v>
      </c>
      <c r="DL1" s="20" t="s">
        <v>89</v>
      </c>
      <c r="DM1" s="20" t="s">
        <v>90</v>
      </c>
      <c r="DN1" s="20" t="s">
        <v>91</v>
      </c>
      <c r="DO1" s="20" t="s">
        <v>128</v>
      </c>
      <c r="DP1" s="20" t="s">
        <v>92</v>
      </c>
      <c r="DQ1" s="20" t="s">
        <v>93</v>
      </c>
      <c r="DR1" s="20" t="s">
        <v>94</v>
      </c>
      <c r="DS1" s="20" t="s">
        <v>129</v>
      </c>
      <c r="DT1" s="20" t="s">
        <v>95</v>
      </c>
      <c r="DU1" s="20" t="s">
        <v>96</v>
      </c>
      <c r="DV1" s="20" t="s">
        <v>97</v>
      </c>
      <c r="DW1" s="20" t="s">
        <v>130</v>
      </c>
      <c r="DX1" s="20" t="s">
        <v>98</v>
      </c>
      <c r="DY1" s="20" t="s">
        <v>99</v>
      </c>
      <c r="DZ1" s="20" t="s">
        <v>100</v>
      </c>
      <c r="EA1" s="20" t="s">
        <v>101</v>
      </c>
      <c r="EB1" s="20" t="s">
        <v>102</v>
      </c>
      <c r="EC1" s="20" t="s">
        <v>103</v>
      </c>
      <c r="ED1" s="20" t="s">
        <v>104</v>
      </c>
      <c r="EE1" s="20" t="s">
        <v>105</v>
      </c>
      <c r="EF1" s="20" t="s">
        <v>106</v>
      </c>
    </row>
    <row r="2" spans="1:136" ht="15.75" customHeight="1" x14ac:dyDescent="0.15">
      <c r="A2" s="4">
        <v>45639.844602337966</v>
      </c>
      <c r="B2" s="5"/>
      <c r="C2" s="5">
        <v>7</v>
      </c>
      <c r="D2" s="5">
        <v>4</v>
      </c>
      <c r="E2" s="5">
        <v>7</v>
      </c>
      <c r="F2" s="5">
        <v>3</v>
      </c>
      <c r="G2" s="5">
        <v>6</v>
      </c>
      <c r="H2" s="5">
        <v>7</v>
      </c>
      <c r="I2" s="5">
        <v>6</v>
      </c>
      <c r="J2" s="5">
        <v>5</v>
      </c>
      <c r="K2" s="5">
        <v>7</v>
      </c>
      <c r="L2" s="5">
        <v>5</v>
      </c>
      <c r="M2" s="5">
        <v>7</v>
      </c>
      <c r="N2" s="5">
        <v>7</v>
      </c>
      <c r="O2" s="5">
        <v>4</v>
      </c>
      <c r="P2" s="5">
        <v>5</v>
      </c>
      <c r="Q2" s="5">
        <v>6</v>
      </c>
      <c r="R2" s="5">
        <v>1</v>
      </c>
      <c r="S2" s="5"/>
      <c r="T2" s="5">
        <v>7</v>
      </c>
      <c r="U2" s="5">
        <v>5</v>
      </c>
      <c r="V2" s="5">
        <v>3</v>
      </c>
      <c r="W2" s="5">
        <v>3</v>
      </c>
      <c r="X2" s="5">
        <v>6</v>
      </c>
      <c r="Y2" s="5">
        <v>2</v>
      </c>
      <c r="Z2" s="5">
        <v>5</v>
      </c>
      <c r="AA2" s="5">
        <v>7</v>
      </c>
      <c r="AB2" s="5">
        <v>4</v>
      </c>
      <c r="AC2" s="5">
        <v>5</v>
      </c>
      <c r="AD2" s="5">
        <v>2</v>
      </c>
      <c r="AE2" s="5">
        <v>6</v>
      </c>
      <c r="AF2" s="5">
        <v>7</v>
      </c>
      <c r="AG2" s="5">
        <v>6</v>
      </c>
      <c r="AH2" s="5">
        <v>5</v>
      </c>
      <c r="AI2" s="5">
        <v>7</v>
      </c>
      <c r="AJ2" s="5">
        <v>3</v>
      </c>
      <c r="AK2" s="5">
        <v>5</v>
      </c>
      <c r="AL2" s="5">
        <v>5</v>
      </c>
      <c r="AM2" s="5">
        <v>7</v>
      </c>
      <c r="AN2" s="5">
        <v>6</v>
      </c>
      <c r="AO2" s="5">
        <v>7</v>
      </c>
      <c r="AP2" s="5">
        <v>7</v>
      </c>
      <c r="AQ2" s="5">
        <v>6</v>
      </c>
      <c r="AR2" s="5">
        <v>3</v>
      </c>
      <c r="AS2" s="6">
        <v>7</v>
      </c>
      <c r="AT2" s="5">
        <v>5</v>
      </c>
      <c r="AU2" s="5">
        <v>7</v>
      </c>
      <c r="AV2" s="5">
        <v>7</v>
      </c>
      <c r="AW2" s="5">
        <v>7</v>
      </c>
      <c r="AX2" s="5">
        <v>6</v>
      </c>
      <c r="AY2" s="5">
        <v>7</v>
      </c>
      <c r="AZ2" s="5">
        <v>7</v>
      </c>
      <c r="BA2" s="5">
        <v>4</v>
      </c>
      <c r="BB2" s="5">
        <v>6</v>
      </c>
      <c r="BC2" s="5">
        <v>6</v>
      </c>
      <c r="BD2" s="5">
        <v>7</v>
      </c>
      <c r="BE2" s="5">
        <v>7</v>
      </c>
      <c r="BF2" s="5">
        <v>2</v>
      </c>
      <c r="BG2" s="5"/>
      <c r="BH2" s="5">
        <v>1</v>
      </c>
      <c r="BI2" s="5">
        <v>1</v>
      </c>
      <c r="BJ2" s="5">
        <v>7</v>
      </c>
      <c r="BK2" s="5">
        <v>7</v>
      </c>
      <c r="BL2" s="5">
        <v>7</v>
      </c>
      <c r="BM2" s="5">
        <v>6</v>
      </c>
      <c r="BN2" s="5">
        <v>6</v>
      </c>
      <c r="BO2" s="5">
        <v>1</v>
      </c>
      <c r="BP2" s="5">
        <v>1</v>
      </c>
      <c r="BQ2" s="5">
        <v>2</v>
      </c>
      <c r="BR2" s="5">
        <v>7</v>
      </c>
      <c r="BS2" s="5">
        <v>7</v>
      </c>
      <c r="BT2" s="5">
        <v>7</v>
      </c>
      <c r="BU2" s="5">
        <v>7</v>
      </c>
      <c r="BV2" s="5">
        <v>6</v>
      </c>
      <c r="BW2" s="5">
        <v>7</v>
      </c>
      <c r="BX2" s="5">
        <v>4</v>
      </c>
      <c r="BY2" s="5">
        <v>3</v>
      </c>
      <c r="BZ2" s="5">
        <v>7</v>
      </c>
      <c r="CA2" s="5">
        <v>7</v>
      </c>
      <c r="CB2" s="5">
        <v>5</v>
      </c>
      <c r="CC2" s="5">
        <v>3</v>
      </c>
      <c r="CD2" s="5">
        <v>7</v>
      </c>
      <c r="CE2" s="5">
        <v>6</v>
      </c>
      <c r="CF2" s="5">
        <v>7</v>
      </c>
      <c r="CG2" s="5">
        <v>6</v>
      </c>
      <c r="CH2" s="5">
        <v>5</v>
      </c>
      <c r="CI2" s="5"/>
      <c r="CJ2" s="5">
        <v>6</v>
      </c>
      <c r="CK2" s="5">
        <v>2</v>
      </c>
      <c r="CL2" s="5">
        <v>3</v>
      </c>
      <c r="CM2" s="5">
        <v>7</v>
      </c>
      <c r="CN2" s="5">
        <v>7</v>
      </c>
      <c r="CO2" s="5">
        <v>5</v>
      </c>
      <c r="CP2" s="5">
        <v>6</v>
      </c>
      <c r="CQ2" s="5">
        <v>6</v>
      </c>
      <c r="CR2" s="5">
        <v>3</v>
      </c>
      <c r="CS2" s="5">
        <v>6</v>
      </c>
      <c r="CT2" s="5">
        <v>3</v>
      </c>
      <c r="CU2" s="5">
        <v>3</v>
      </c>
      <c r="CV2" s="5">
        <v>7</v>
      </c>
      <c r="CW2" s="5">
        <v>7</v>
      </c>
      <c r="CX2" s="5">
        <v>1</v>
      </c>
      <c r="CY2" s="5">
        <v>6</v>
      </c>
      <c r="CZ2" s="5">
        <v>3</v>
      </c>
      <c r="DA2" s="5">
        <v>2</v>
      </c>
      <c r="DB2" s="5">
        <v>1</v>
      </c>
      <c r="DC2" s="5">
        <v>6</v>
      </c>
      <c r="DD2" s="5"/>
      <c r="DE2" s="5">
        <v>6</v>
      </c>
      <c r="DF2" s="5">
        <v>6</v>
      </c>
      <c r="DG2" s="5">
        <v>6</v>
      </c>
      <c r="DH2" s="5">
        <v>6</v>
      </c>
      <c r="DI2" s="5">
        <v>7</v>
      </c>
      <c r="DJ2" s="5">
        <v>7</v>
      </c>
      <c r="DK2" s="5">
        <v>7</v>
      </c>
      <c r="DL2" s="5">
        <v>6</v>
      </c>
      <c r="DM2" s="5">
        <v>7</v>
      </c>
      <c r="DN2" s="5">
        <v>6</v>
      </c>
      <c r="DO2" s="5">
        <v>5</v>
      </c>
      <c r="DP2" s="5">
        <v>7</v>
      </c>
      <c r="DQ2" s="5">
        <v>7</v>
      </c>
      <c r="DR2" s="5">
        <v>6</v>
      </c>
      <c r="DS2" s="5">
        <v>6</v>
      </c>
      <c r="DT2" s="5">
        <v>7</v>
      </c>
      <c r="DU2" s="5">
        <v>7</v>
      </c>
      <c r="DV2" s="5">
        <v>5</v>
      </c>
      <c r="DW2" s="5">
        <v>3</v>
      </c>
      <c r="DX2" s="5">
        <v>3</v>
      </c>
      <c r="DY2" s="5">
        <v>7</v>
      </c>
      <c r="DZ2" s="5">
        <v>6</v>
      </c>
      <c r="EA2" s="5">
        <v>7</v>
      </c>
      <c r="EB2" s="5">
        <v>5</v>
      </c>
      <c r="EC2" s="5">
        <v>1</v>
      </c>
      <c r="ED2" s="5">
        <v>1</v>
      </c>
      <c r="EE2" s="5">
        <v>2</v>
      </c>
      <c r="EF2" s="5">
        <v>4</v>
      </c>
    </row>
    <row r="3" spans="1:136" ht="15.75" customHeight="1" x14ac:dyDescent="0.15">
      <c r="A3" s="1">
        <v>45639.894519247682</v>
      </c>
      <c r="C3" s="2">
        <v>1</v>
      </c>
      <c r="D3" s="2">
        <v>4</v>
      </c>
      <c r="E3" s="2">
        <v>1</v>
      </c>
      <c r="F3" s="2">
        <v>7</v>
      </c>
      <c r="G3" s="2">
        <v>4</v>
      </c>
      <c r="H3" s="2">
        <v>1</v>
      </c>
      <c r="I3" s="2">
        <v>3</v>
      </c>
      <c r="J3" s="2">
        <v>6</v>
      </c>
      <c r="K3" s="2">
        <v>6</v>
      </c>
      <c r="L3" s="2">
        <v>5</v>
      </c>
      <c r="M3" s="2">
        <v>4</v>
      </c>
      <c r="N3" s="2">
        <v>4</v>
      </c>
      <c r="O3" s="2">
        <v>5</v>
      </c>
      <c r="P3" s="2">
        <v>5</v>
      </c>
      <c r="Q3" s="2">
        <v>6</v>
      </c>
      <c r="R3" s="2">
        <v>5</v>
      </c>
      <c r="S3" s="2"/>
      <c r="T3" s="2">
        <v>1</v>
      </c>
      <c r="U3" s="2">
        <v>6</v>
      </c>
      <c r="V3" s="2">
        <v>7</v>
      </c>
      <c r="W3" s="2">
        <v>6</v>
      </c>
      <c r="X3" s="2">
        <v>6</v>
      </c>
      <c r="Y3" s="2">
        <v>5</v>
      </c>
      <c r="Z3" s="2">
        <v>5</v>
      </c>
      <c r="AA3" s="2">
        <v>5</v>
      </c>
      <c r="AB3" s="2">
        <v>6</v>
      </c>
      <c r="AC3" s="2">
        <v>1</v>
      </c>
      <c r="AD3" s="2">
        <v>1</v>
      </c>
      <c r="AE3" s="2">
        <v>3</v>
      </c>
      <c r="AF3" s="2">
        <v>1</v>
      </c>
      <c r="AG3" s="2">
        <v>5</v>
      </c>
      <c r="AH3" s="2">
        <v>2</v>
      </c>
      <c r="AI3" s="2">
        <v>5</v>
      </c>
      <c r="AJ3" s="2">
        <v>5</v>
      </c>
      <c r="AK3" s="2">
        <v>1</v>
      </c>
      <c r="AL3" s="2">
        <v>7</v>
      </c>
      <c r="AM3" s="2">
        <v>6</v>
      </c>
      <c r="AN3" s="2">
        <v>6</v>
      </c>
      <c r="AO3" s="2">
        <v>4</v>
      </c>
      <c r="AP3" s="2">
        <v>1</v>
      </c>
      <c r="AQ3" s="2">
        <v>1</v>
      </c>
      <c r="AR3" s="2">
        <v>4</v>
      </c>
      <c r="AS3" s="3">
        <v>4</v>
      </c>
      <c r="AT3" s="2">
        <v>5</v>
      </c>
      <c r="AU3" s="2">
        <v>6</v>
      </c>
      <c r="AV3" s="2">
        <v>6</v>
      </c>
      <c r="AW3" s="2">
        <v>4</v>
      </c>
      <c r="AX3" s="2">
        <v>3</v>
      </c>
      <c r="AY3" s="2">
        <v>6</v>
      </c>
      <c r="AZ3" s="2">
        <v>4</v>
      </c>
      <c r="BA3" s="2">
        <v>1</v>
      </c>
      <c r="BB3" s="2">
        <v>3</v>
      </c>
      <c r="BC3" s="2">
        <v>1</v>
      </c>
      <c r="BD3" s="2">
        <v>1</v>
      </c>
      <c r="BE3" s="2">
        <v>5</v>
      </c>
      <c r="BF3" s="2">
        <v>3</v>
      </c>
      <c r="BG3" s="2"/>
      <c r="BH3" s="2">
        <v>7</v>
      </c>
      <c r="BI3" s="2">
        <v>7</v>
      </c>
      <c r="BJ3" s="2">
        <v>1</v>
      </c>
      <c r="BK3" s="2">
        <v>5</v>
      </c>
      <c r="BL3" s="2">
        <v>5</v>
      </c>
      <c r="BM3" s="2">
        <v>5</v>
      </c>
      <c r="BN3" s="2">
        <v>1</v>
      </c>
      <c r="BO3" s="2">
        <v>5</v>
      </c>
      <c r="BP3" s="2">
        <v>6</v>
      </c>
      <c r="BQ3" s="2">
        <v>5</v>
      </c>
      <c r="BR3" s="2">
        <v>7</v>
      </c>
      <c r="BS3" s="2">
        <v>3</v>
      </c>
      <c r="BT3" s="2">
        <v>5</v>
      </c>
      <c r="BU3" s="2">
        <v>5</v>
      </c>
      <c r="BV3" s="2">
        <v>5</v>
      </c>
      <c r="BW3" s="2">
        <v>5</v>
      </c>
      <c r="BX3" s="2">
        <v>7</v>
      </c>
      <c r="BY3" s="2">
        <v>1</v>
      </c>
      <c r="BZ3" s="2">
        <v>5</v>
      </c>
      <c r="CA3" s="2">
        <v>6</v>
      </c>
      <c r="CB3" s="2">
        <v>5</v>
      </c>
      <c r="CC3" s="2">
        <v>5</v>
      </c>
      <c r="CD3" s="2">
        <v>6</v>
      </c>
      <c r="CE3" s="2">
        <v>5</v>
      </c>
      <c r="CF3" s="2">
        <v>6</v>
      </c>
      <c r="CG3" s="2">
        <v>6</v>
      </c>
      <c r="CH3" s="2">
        <v>7</v>
      </c>
      <c r="CI3" s="2"/>
      <c r="CJ3" s="2">
        <v>5</v>
      </c>
      <c r="CK3" s="2">
        <v>5</v>
      </c>
      <c r="CL3" s="2">
        <v>5</v>
      </c>
      <c r="CM3" s="2">
        <v>1</v>
      </c>
      <c r="CN3" s="2">
        <v>4</v>
      </c>
      <c r="CO3" s="2">
        <v>5</v>
      </c>
      <c r="CP3" s="2">
        <v>5</v>
      </c>
      <c r="CQ3" s="2">
        <v>7</v>
      </c>
      <c r="CR3" s="2">
        <v>3</v>
      </c>
      <c r="CS3" s="2">
        <v>5</v>
      </c>
      <c r="CT3" s="2">
        <v>5</v>
      </c>
      <c r="CU3" s="2">
        <v>2</v>
      </c>
      <c r="CV3" s="2">
        <v>5</v>
      </c>
      <c r="CW3" s="2">
        <v>5</v>
      </c>
      <c r="CX3" s="2">
        <v>4</v>
      </c>
      <c r="CY3" s="2">
        <v>1</v>
      </c>
      <c r="CZ3" s="2">
        <v>5</v>
      </c>
      <c r="DA3" s="2">
        <v>5</v>
      </c>
      <c r="DB3" s="2">
        <v>5</v>
      </c>
      <c r="DC3" s="2">
        <v>3</v>
      </c>
      <c r="DD3" s="2"/>
      <c r="DE3" s="2">
        <v>7</v>
      </c>
      <c r="DF3" s="2">
        <v>5</v>
      </c>
      <c r="DG3" s="2">
        <v>5</v>
      </c>
      <c r="DH3" s="2">
        <v>5</v>
      </c>
      <c r="DI3" s="2">
        <v>5</v>
      </c>
      <c r="DJ3" s="2">
        <v>5</v>
      </c>
      <c r="DK3" s="2">
        <v>5</v>
      </c>
      <c r="DL3" s="2">
        <v>5</v>
      </c>
      <c r="DM3" s="2">
        <v>7</v>
      </c>
      <c r="DN3" s="2">
        <v>6</v>
      </c>
      <c r="DO3" s="2">
        <v>6</v>
      </c>
      <c r="DP3" s="2">
        <v>6</v>
      </c>
      <c r="DQ3" s="2">
        <v>6</v>
      </c>
      <c r="DR3" s="2">
        <v>6</v>
      </c>
      <c r="DS3" s="2">
        <v>6</v>
      </c>
      <c r="DT3" s="2">
        <v>3</v>
      </c>
      <c r="DU3" s="2">
        <v>7</v>
      </c>
      <c r="DV3" s="2">
        <v>1</v>
      </c>
      <c r="DW3" s="2">
        <v>5</v>
      </c>
      <c r="DX3" s="2">
        <v>5</v>
      </c>
      <c r="DY3" s="2">
        <v>5</v>
      </c>
      <c r="DZ3" s="2">
        <v>4</v>
      </c>
      <c r="EA3" s="2">
        <v>4</v>
      </c>
      <c r="EB3" s="2">
        <v>5</v>
      </c>
      <c r="EC3" s="2">
        <v>5</v>
      </c>
      <c r="ED3" s="2">
        <v>2</v>
      </c>
      <c r="EE3" s="2">
        <v>5</v>
      </c>
      <c r="EF3" s="2">
        <v>5</v>
      </c>
    </row>
    <row r="4" spans="1:136" ht="15.75" customHeight="1" x14ac:dyDescent="0.15">
      <c r="A4" s="4">
        <v>45640.420760879628</v>
      </c>
      <c r="C4" s="5">
        <v>5</v>
      </c>
      <c r="D4" s="5">
        <v>5</v>
      </c>
      <c r="E4" s="5">
        <v>7</v>
      </c>
      <c r="F4" s="5">
        <v>7</v>
      </c>
      <c r="G4" s="5">
        <v>7</v>
      </c>
      <c r="H4" s="5">
        <v>6</v>
      </c>
      <c r="I4" s="5">
        <v>5</v>
      </c>
      <c r="J4" s="5">
        <v>6</v>
      </c>
      <c r="K4" s="5">
        <v>7</v>
      </c>
      <c r="L4" s="5">
        <v>6</v>
      </c>
      <c r="M4" s="5">
        <v>7</v>
      </c>
      <c r="N4" s="5">
        <v>4</v>
      </c>
      <c r="O4" s="5">
        <v>6</v>
      </c>
      <c r="P4" s="5">
        <v>7</v>
      </c>
      <c r="Q4" s="5">
        <v>5</v>
      </c>
      <c r="R4" s="5">
        <v>5</v>
      </c>
      <c r="S4" s="5"/>
      <c r="T4" s="5">
        <v>4</v>
      </c>
      <c r="U4" s="5">
        <v>3</v>
      </c>
      <c r="V4" s="5">
        <v>3</v>
      </c>
      <c r="W4" s="5">
        <v>6</v>
      </c>
      <c r="X4" s="5">
        <v>6</v>
      </c>
      <c r="Y4" s="5">
        <v>5</v>
      </c>
      <c r="Z4" s="5">
        <v>7</v>
      </c>
      <c r="AA4" s="5">
        <v>5</v>
      </c>
      <c r="AB4" s="5">
        <v>3</v>
      </c>
      <c r="AC4" s="5">
        <v>4</v>
      </c>
      <c r="AD4" s="5">
        <v>1</v>
      </c>
      <c r="AE4" s="5">
        <v>7</v>
      </c>
      <c r="AF4" s="5">
        <v>4</v>
      </c>
      <c r="AG4" s="5">
        <v>7</v>
      </c>
      <c r="AH4" s="5">
        <v>6</v>
      </c>
      <c r="AI4" s="5">
        <v>7</v>
      </c>
      <c r="AJ4" s="5">
        <v>7</v>
      </c>
      <c r="AK4" s="5">
        <v>4</v>
      </c>
      <c r="AL4" s="5">
        <v>3</v>
      </c>
      <c r="AM4" s="5">
        <v>5</v>
      </c>
      <c r="AN4" s="5">
        <v>4</v>
      </c>
      <c r="AO4" s="5">
        <v>7</v>
      </c>
      <c r="AP4" s="5">
        <v>4</v>
      </c>
      <c r="AQ4" s="5">
        <v>6</v>
      </c>
      <c r="AR4" s="5">
        <v>7</v>
      </c>
      <c r="AS4" s="6">
        <v>4</v>
      </c>
      <c r="AT4" s="5">
        <v>3</v>
      </c>
      <c r="AU4" s="5">
        <v>4</v>
      </c>
      <c r="AV4" s="5">
        <v>5</v>
      </c>
      <c r="AW4" s="5">
        <v>6</v>
      </c>
      <c r="AX4" s="5">
        <v>5</v>
      </c>
      <c r="AY4" s="5">
        <v>5</v>
      </c>
      <c r="AZ4" s="5">
        <v>4</v>
      </c>
      <c r="BA4" s="5">
        <v>4</v>
      </c>
      <c r="BB4" s="5">
        <v>5</v>
      </c>
      <c r="BC4" s="5">
        <v>3</v>
      </c>
      <c r="BD4" s="5">
        <v>4</v>
      </c>
      <c r="BE4" s="5">
        <v>7</v>
      </c>
      <c r="BF4" s="5">
        <v>7</v>
      </c>
      <c r="BG4" s="5"/>
      <c r="BH4" s="5">
        <v>7</v>
      </c>
      <c r="BI4" s="5">
        <v>7</v>
      </c>
      <c r="BJ4" s="5">
        <v>2</v>
      </c>
      <c r="BK4" s="5">
        <v>6</v>
      </c>
      <c r="BL4" s="5">
        <v>4</v>
      </c>
      <c r="BM4" s="5">
        <v>4</v>
      </c>
      <c r="BN4" s="5">
        <v>4</v>
      </c>
      <c r="BO4" s="5">
        <v>5</v>
      </c>
      <c r="BP4" s="5">
        <v>7</v>
      </c>
      <c r="BQ4" s="5">
        <v>7</v>
      </c>
      <c r="BR4" s="5">
        <v>5</v>
      </c>
      <c r="BS4" s="5">
        <v>5</v>
      </c>
      <c r="BT4" s="5">
        <v>5</v>
      </c>
      <c r="BU4" s="5">
        <v>7</v>
      </c>
      <c r="BV4" s="5">
        <v>7</v>
      </c>
      <c r="BW4" s="5">
        <v>7</v>
      </c>
      <c r="BX4" s="5">
        <v>7</v>
      </c>
      <c r="BY4" s="5">
        <v>7</v>
      </c>
      <c r="BZ4" s="5">
        <v>7</v>
      </c>
      <c r="CA4" s="5">
        <v>7</v>
      </c>
      <c r="CB4" s="5">
        <v>7</v>
      </c>
      <c r="CC4" s="5">
        <v>7</v>
      </c>
      <c r="CD4" s="5">
        <v>7</v>
      </c>
      <c r="CE4" s="5">
        <v>7</v>
      </c>
      <c r="CF4" s="5">
        <v>7</v>
      </c>
      <c r="CG4" s="5">
        <v>7</v>
      </c>
      <c r="CH4" s="5">
        <v>7</v>
      </c>
      <c r="CI4" s="5"/>
      <c r="CJ4" s="5">
        <v>2</v>
      </c>
      <c r="CK4" s="5">
        <v>7</v>
      </c>
      <c r="CL4" s="5">
        <v>3</v>
      </c>
      <c r="CM4" s="5">
        <v>1</v>
      </c>
      <c r="CN4" s="5">
        <v>1</v>
      </c>
      <c r="CO4" s="5">
        <v>7</v>
      </c>
      <c r="CP4" s="5">
        <v>7</v>
      </c>
      <c r="CQ4" s="5">
        <v>7</v>
      </c>
      <c r="CR4" s="5">
        <v>7</v>
      </c>
      <c r="CS4" s="5">
        <v>3</v>
      </c>
      <c r="CT4" s="5">
        <v>7</v>
      </c>
      <c r="CU4" s="5">
        <v>3</v>
      </c>
      <c r="CV4" s="5">
        <v>3</v>
      </c>
      <c r="CW4" s="5">
        <v>5</v>
      </c>
      <c r="CX4" s="5">
        <v>7</v>
      </c>
      <c r="CY4" s="5">
        <v>5</v>
      </c>
      <c r="CZ4" s="5">
        <v>4</v>
      </c>
      <c r="DA4" s="5">
        <v>1</v>
      </c>
      <c r="DB4" s="5">
        <v>7</v>
      </c>
      <c r="DC4" s="5">
        <v>4</v>
      </c>
      <c r="DD4" s="5"/>
      <c r="DE4" s="5">
        <v>7</v>
      </c>
      <c r="DF4" s="5">
        <v>7</v>
      </c>
      <c r="DG4" s="5">
        <v>7</v>
      </c>
      <c r="DH4" s="5">
        <v>5</v>
      </c>
      <c r="DI4" s="5">
        <v>7</v>
      </c>
      <c r="DJ4" s="5">
        <v>7</v>
      </c>
      <c r="DK4" s="5">
        <v>7</v>
      </c>
      <c r="DL4" s="5">
        <v>7</v>
      </c>
      <c r="DM4" s="5">
        <v>7</v>
      </c>
      <c r="DN4" s="5">
        <v>7</v>
      </c>
      <c r="DO4" s="5">
        <v>7</v>
      </c>
      <c r="DP4" s="5">
        <v>7</v>
      </c>
      <c r="DQ4" s="5">
        <v>7</v>
      </c>
      <c r="DR4" s="5">
        <v>7</v>
      </c>
      <c r="DS4" s="5">
        <v>7</v>
      </c>
      <c r="DT4" s="5">
        <v>7</v>
      </c>
      <c r="DU4" s="5">
        <v>7</v>
      </c>
      <c r="DV4" s="5">
        <v>7</v>
      </c>
      <c r="DW4" s="5">
        <v>7</v>
      </c>
      <c r="DX4" s="5">
        <v>7</v>
      </c>
      <c r="DY4" s="5">
        <v>7</v>
      </c>
      <c r="DZ4" s="5">
        <v>7</v>
      </c>
      <c r="EA4" s="5">
        <v>7</v>
      </c>
      <c r="EB4" s="5">
        <v>1</v>
      </c>
      <c r="EC4" s="5">
        <v>7</v>
      </c>
      <c r="ED4" s="5">
        <v>4</v>
      </c>
      <c r="EE4" s="5">
        <v>5</v>
      </c>
      <c r="EF4" s="5">
        <v>7</v>
      </c>
    </row>
    <row r="5" spans="1:136" ht="15.75" customHeight="1" x14ac:dyDescent="0.15">
      <c r="A5" s="1">
        <v>45640.632277546298</v>
      </c>
      <c r="C5" s="2">
        <v>5</v>
      </c>
      <c r="D5" s="2">
        <v>5</v>
      </c>
      <c r="E5" s="2">
        <v>3</v>
      </c>
      <c r="F5" s="2">
        <v>6</v>
      </c>
      <c r="G5" s="2">
        <v>7</v>
      </c>
      <c r="H5" s="2">
        <v>5</v>
      </c>
      <c r="I5" s="2">
        <v>7</v>
      </c>
      <c r="J5" s="2">
        <v>7</v>
      </c>
      <c r="K5" s="2">
        <v>7</v>
      </c>
      <c r="L5" s="2">
        <v>5</v>
      </c>
      <c r="M5" s="2">
        <v>7</v>
      </c>
      <c r="N5" s="2">
        <v>3</v>
      </c>
      <c r="O5" s="2">
        <v>4</v>
      </c>
      <c r="P5" s="2">
        <v>7</v>
      </c>
      <c r="Q5" s="2">
        <v>7</v>
      </c>
      <c r="R5" s="2">
        <v>5</v>
      </c>
      <c r="S5" s="2"/>
      <c r="T5" s="2">
        <v>5</v>
      </c>
      <c r="U5" s="2">
        <v>7</v>
      </c>
      <c r="V5" s="2">
        <v>7</v>
      </c>
      <c r="W5" s="2">
        <v>7</v>
      </c>
      <c r="X5" s="2">
        <v>7</v>
      </c>
      <c r="Y5" s="2">
        <v>1</v>
      </c>
      <c r="Z5" s="2">
        <v>5</v>
      </c>
      <c r="AA5" s="2">
        <v>4</v>
      </c>
      <c r="AB5" s="2">
        <v>7</v>
      </c>
      <c r="AC5" s="2">
        <v>6</v>
      </c>
      <c r="AD5" s="2">
        <v>7</v>
      </c>
      <c r="AE5" s="2">
        <v>1</v>
      </c>
      <c r="AF5" s="2">
        <v>7</v>
      </c>
      <c r="AG5" s="2">
        <v>6</v>
      </c>
      <c r="AH5" s="2">
        <v>4</v>
      </c>
      <c r="AI5" s="2">
        <v>5</v>
      </c>
      <c r="AJ5" s="2">
        <v>4</v>
      </c>
      <c r="AK5" s="2">
        <v>1</v>
      </c>
      <c r="AL5" s="2">
        <v>5</v>
      </c>
      <c r="AM5" s="2">
        <v>7</v>
      </c>
      <c r="AN5" s="2">
        <v>5</v>
      </c>
      <c r="AO5" s="2">
        <v>7</v>
      </c>
      <c r="AP5" s="2">
        <v>5</v>
      </c>
      <c r="AQ5" s="2">
        <v>4</v>
      </c>
      <c r="AR5" s="2">
        <v>7</v>
      </c>
      <c r="AS5" s="3">
        <v>5</v>
      </c>
      <c r="AT5" s="2">
        <v>5</v>
      </c>
      <c r="AU5" s="2">
        <v>4</v>
      </c>
      <c r="AV5" s="2">
        <v>7</v>
      </c>
      <c r="AW5" s="2">
        <v>7</v>
      </c>
      <c r="AX5" s="2">
        <v>7</v>
      </c>
      <c r="AY5" s="2">
        <v>6</v>
      </c>
      <c r="AZ5" s="2">
        <v>5</v>
      </c>
      <c r="BA5" s="2">
        <v>4</v>
      </c>
      <c r="BB5" s="2">
        <v>5</v>
      </c>
      <c r="BC5" s="2">
        <v>3</v>
      </c>
      <c r="BD5" s="2">
        <v>5</v>
      </c>
      <c r="BE5" s="2">
        <v>3</v>
      </c>
      <c r="BF5" s="2">
        <v>4</v>
      </c>
      <c r="BG5" s="2"/>
      <c r="BH5" s="2">
        <v>6</v>
      </c>
      <c r="BI5" s="2">
        <v>7</v>
      </c>
      <c r="BJ5" s="2">
        <v>2</v>
      </c>
      <c r="BK5" s="2">
        <v>7</v>
      </c>
      <c r="BL5" s="2">
        <v>6</v>
      </c>
      <c r="BM5" s="2">
        <v>5</v>
      </c>
      <c r="BN5" s="2">
        <v>5</v>
      </c>
      <c r="BO5" s="2">
        <v>3</v>
      </c>
      <c r="BP5" s="2">
        <v>7</v>
      </c>
      <c r="BQ5" s="2">
        <v>5</v>
      </c>
      <c r="BR5" s="2">
        <v>7</v>
      </c>
      <c r="BS5" s="2">
        <v>2</v>
      </c>
      <c r="BT5" s="2">
        <v>7</v>
      </c>
      <c r="BU5" s="2">
        <v>7</v>
      </c>
      <c r="BV5" s="2">
        <v>6</v>
      </c>
      <c r="BW5" s="2">
        <v>6</v>
      </c>
      <c r="BX5" s="2">
        <v>6</v>
      </c>
      <c r="BY5" s="2">
        <v>4</v>
      </c>
      <c r="BZ5" s="2">
        <v>7</v>
      </c>
      <c r="CA5" s="2">
        <v>7</v>
      </c>
      <c r="CB5" s="2">
        <v>6</v>
      </c>
      <c r="CC5" s="2">
        <v>7</v>
      </c>
      <c r="CD5" s="2">
        <v>7</v>
      </c>
      <c r="CE5" s="2">
        <v>7</v>
      </c>
      <c r="CF5" s="2">
        <v>7</v>
      </c>
      <c r="CG5" s="2">
        <v>7</v>
      </c>
      <c r="CH5" s="2">
        <v>5</v>
      </c>
      <c r="CI5" s="2"/>
      <c r="CJ5" s="2">
        <v>5</v>
      </c>
      <c r="CK5" s="2">
        <v>7</v>
      </c>
      <c r="CL5" s="2">
        <v>6</v>
      </c>
      <c r="CM5" s="2">
        <v>5</v>
      </c>
      <c r="CN5" s="2">
        <v>1</v>
      </c>
      <c r="CO5" s="2">
        <v>6</v>
      </c>
      <c r="CP5" s="2">
        <v>7</v>
      </c>
      <c r="CQ5" s="2">
        <v>7</v>
      </c>
      <c r="CR5" s="2">
        <v>7</v>
      </c>
      <c r="CS5" s="2">
        <v>6</v>
      </c>
      <c r="CT5" s="2">
        <v>5</v>
      </c>
      <c r="CU5" s="2">
        <v>6</v>
      </c>
      <c r="CV5" s="2">
        <v>7</v>
      </c>
      <c r="CW5" s="2">
        <v>5</v>
      </c>
      <c r="CX5" s="2">
        <v>3</v>
      </c>
      <c r="CY5" s="2">
        <v>5</v>
      </c>
      <c r="CZ5" s="2">
        <v>6</v>
      </c>
      <c r="DA5" s="2">
        <v>5</v>
      </c>
      <c r="DB5" s="2">
        <v>5</v>
      </c>
      <c r="DC5" s="2">
        <v>5</v>
      </c>
      <c r="DD5" s="2"/>
      <c r="DE5" s="2">
        <v>7</v>
      </c>
      <c r="DF5" s="2">
        <v>4</v>
      </c>
      <c r="DG5" s="2">
        <v>5</v>
      </c>
      <c r="DH5" s="2">
        <v>4</v>
      </c>
      <c r="DI5" s="2">
        <v>7</v>
      </c>
      <c r="DJ5" s="2">
        <v>7</v>
      </c>
      <c r="DK5" s="2">
        <v>7</v>
      </c>
      <c r="DL5" s="2">
        <v>7</v>
      </c>
      <c r="DM5" s="2">
        <v>5</v>
      </c>
      <c r="DN5" s="2">
        <v>6</v>
      </c>
      <c r="DO5" s="2">
        <v>7</v>
      </c>
      <c r="DP5" s="2">
        <v>7</v>
      </c>
      <c r="DQ5" s="2">
        <v>7</v>
      </c>
      <c r="DR5" s="2">
        <v>7</v>
      </c>
      <c r="DS5" s="2">
        <v>5</v>
      </c>
      <c r="DT5" s="2">
        <v>4</v>
      </c>
      <c r="DU5" s="2">
        <v>7</v>
      </c>
      <c r="DV5" s="2">
        <v>7</v>
      </c>
      <c r="DW5" s="2">
        <v>5</v>
      </c>
      <c r="DX5" s="2">
        <v>7</v>
      </c>
      <c r="DY5" s="2">
        <v>5</v>
      </c>
      <c r="DZ5" s="2">
        <v>6</v>
      </c>
      <c r="EA5" s="2">
        <v>7</v>
      </c>
      <c r="EB5" s="2">
        <v>4</v>
      </c>
      <c r="EC5" s="2">
        <v>5</v>
      </c>
      <c r="ED5" s="2">
        <v>3</v>
      </c>
      <c r="EE5" s="2">
        <v>4</v>
      </c>
      <c r="EF5" s="2">
        <v>6</v>
      </c>
    </row>
    <row r="6" spans="1:136" ht="15.75" customHeight="1" x14ac:dyDescent="0.15">
      <c r="A6" s="4">
        <v>45640.635959108797</v>
      </c>
      <c r="C6" s="5">
        <v>2</v>
      </c>
      <c r="D6" s="5">
        <v>2</v>
      </c>
      <c r="E6" s="5">
        <v>2</v>
      </c>
      <c r="F6" s="5">
        <v>5</v>
      </c>
      <c r="G6" s="5">
        <v>5</v>
      </c>
      <c r="H6" s="5">
        <v>5</v>
      </c>
      <c r="I6" s="5">
        <v>5</v>
      </c>
      <c r="J6" s="5">
        <v>5</v>
      </c>
      <c r="K6" s="5">
        <v>6</v>
      </c>
      <c r="L6" s="5">
        <v>4</v>
      </c>
      <c r="M6" s="5">
        <v>2</v>
      </c>
      <c r="N6" s="5">
        <v>5</v>
      </c>
      <c r="O6" s="5">
        <v>3</v>
      </c>
      <c r="P6" s="5">
        <v>3</v>
      </c>
      <c r="Q6" s="5">
        <v>5</v>
      </c>
      <c r="R6" s="5">
        <v>4</v>
      </c>
      <c r="S6" s="5"/>
      <c r="T6" s="5">
        <v>5</v>
      </c>
      <c r="U6" s="5">
        <v>7</v>
      </c>
      <c r="V6" s="5">
        <v>7</v>
      </c>
      <c r="W6" s="5">
        <v>5</v>
      </c>
      <c r="X6" s="5">
        <v>5</v>
      </c>
      <c r="Y6" s="5">
        <v>4</v>
      </c>
      <c r="Z6" s="5">
        <v>7</v>
      </c>
      <c r="AA6" s="5">
        <v>6</v>
      </c>
      <c r="AB6" s="5">
        <v>7</v>
      </c>
      <c r="AC6" s="5">
        <v>6</v>
      </c>
      <c r="AD6" s="5">
        <v>6</v>
      </c>
      <c r="AE6" s="5">
        <v>6</v>
      </c>
      <c r="AF6" s="5">
        <v>6</v>
      </c>
      <c r="AG6" s="5">
        <v>7</v>
      </c>
      <c r="AH6" s="5">
        <v>6</v>
      </c>
      <c r="AI6" s="5">
        <v>7</v>
      </c>
      <c r="AJ6" s="5">
        <v>5</v>
      </c>
      <c r="AK6" s="5">
        <v>3</v>
      </c>
      <c r="AL6" s="5">
        <v>5</v>
      </c>
      <c r="AM6" s="5">
        <v>7</v>
      </c>
      <c r="AN6" s="5">
        <v>5</v>
      </c>
      <c r="AO6" s="5">
        <v>6</v>
      </c>
      <c r="AP6" s="5">
        <v>6</v>
      </c>
      <c r="AQ6" s="5">
        <v>6</v>
      </c>
      <c r="AR6" s="5">
        <v>6</v>
      </c>
      <c r="AS6" s="6">
        <v>5</v>
      </c>
      <c r="AT6" s="5">
        <v>5</v>
      </c>
      <c r="AU6" s="5">
        <v>5</v>
      </c>
      <c r="AV6" s="5">
        <v>5</v>
      </c>
      <c r="AW6" s="5">
        <v>5</v>
      </c>
      <c r="AX6" s="5">
        <v>3</v>
      </c>
      <c r="AY6" s="5">
        <v>5</v>
      </c>
      <c r="AZ6" s="5">
        <v>5</v>
      </c>
      <c r="BA6" s="5">
        <v>4</v>
      </c>
      <c r="BB6" s="5">
        <v>7</v>
      </c>
      <c r="BC6" s="5">
        <v>5</v>
      </c>
      <c r="BD6" s="5">
        <v>7</v>
      </c>
      <c r="BE6" s="5">
        <v>4</v>
      </c>
      <c r="BF6" s="5">
        <v>7</v>
      </c>
      <c r="BG6" s="5"/>
      <c r="BH6" s="5">
        <v>5</v>
      </c>
      <c r="BI6" s="5">
        <v>6</v>
      </c>
      <c r="BJ6" s="5">
        <v>5</v>
      </c>
      <c r="BK6" s="5">
        <v>4</v>
      </c>
      <c r="BL6" s="5">
        <v>5</v>
      </c>
      <c r="BM6" s="5">
        <v>4</v>
      </c>
      <c r="BN6" s="5">
        <v>3</v>
      </c>
      <c r="BO6" s="5">
        <v>5</v>
      </c>
      <c r="BP6" s="5">
        <v>7</v>
      </c>
      <c r="BQ6" s="5">
        <v>4</v>
      </c>
      <c r="BR6" s="5">
        <v>5</v>
      </c>
      <c r="BS6" s="5">
        <v>3</v>
      </c>
      <c r="BT6" s="5">
        <v>3</v>
      </c>
      <c r="BU6" s="5">
        <v>6</v>
      </c>
      <c r="BV6" s="5">
        <v>5</v>
      </c>
      <c r="BW6" s="5">
        <v>3</v>
      </c>
      <c r="BX6" s="5">
        <v>5</v>
      </c>
      <c r="BY6" s="5">
        <v>5</v>
      </c>
      <c r="BZ6" s="5">
        <v>5</v>
      </c>
      <c r="CA6" s="5">
        <v>5</v>
      </c>
      <c r="CB6" s="5">
        <v>6</v>
      </c>
      <c r="CC6" s="5">
        <v>5</v>
      </c>
      <c r="CD6" s="5">
        <v>2</v>
      </c>
      <c r="CE6" s="5">
        <v>5</v>
      </c>
      <c r="CF6" s="5">
        <v>5</v>
      </c>
      <c r="CG6" s="5">
        <v>6</v>
      </c>
      <c r="CH6" s="5">
        <v>6</v>
      </c>
      <c r="CI6" s="5"/>
      <c r="CJ6" s="5">
        <v>7</v>
      </c>
      <c r="CK6" s="5">
        <v>3</v>
      </c>
      <c r="CL6" s="5">
        <v>2</v>
      </c>
      <c r="CM6" s="5">
        <v>3</v>
      </c>
      <c r="CN6" s="5">
        <v>5</v>
      </c>
      <c r="CO6" s="5">
        <v>6</v>
      </c>
      <c r="CP6" s="5">
        <v>5</v>
      </c>
      <c r="CQ6" s="5">
        <v>4</v>
      </c>
      <c r="CR6" s="5">
        <v>5</v>
      </c>
      <c r="CS6" s="5">
        <v>5</v>
      </c>
      <c r="CT6" s="5">
        <v>5</v>
      </c>
      <c r="CU6" s="5">
        <v>5</v>
      </c>
      <c r="CV6" s="5">
        <v>5</v>
      </c>
      <c r="CW6" s="5">
        <v>3</v>
      </c>
      <c r="CX6" s="5">
        <v>5</v>
      </c>
      <c r="CY6" s="5">
        <v>4</v>
      </c>
      <c r="CZ6" s="5">
        <v>3</v>
      </c>
      <c r="DA6" s="5">
        <v>3</v>
      </c>
      <c r="DB6" s="5">
        <v>4</v>
      </c>
      <c r="DC6" s="5">
        <v>5</v>
      </c>
      <c r="DD6" s="5"/>
      <c r="DE6" s="5">
        <v>5</v>
      </c>
      <c r="DF6" s="5">
        <v>5</v>
      </c>
      <c r="DG6" s="5">
        <v>7</v>
      </c>
      <c r="DH6" s="5">
        <v>6</v>
      </c>
      <c r="DI6" s="5">
        <v>6</v>
      </c>
      <c r="DJ6" s="5">
        <v>5</v>
      </c>
      <c r="DK6" s="5">
        <v>5</v>
      </c>
      <c r="DL6" s="5">
        <v>4</v>
      </c>
      <c r="DM6" s="5">
        <v>7</v>
      </c>
      <c r="DN6" s="5">
        <v>4</v>
      </c>
      <c r="DO6" s="5">
        <v>3</v>
      </c>
      <c r="DP6" s="5">
        <v>4</v>
      </c>
      <c r="DQ6" s="5">
        <v>5</v>
      </c>
      <c r="DR6" s="5">
        <v>5</v>
      </c>
      <c r="DS6" s="5">
        <v>4</v>
      </c>
      <c r="DT6" s="5">
        <v>5</v>
      </c>
      <c r="DU6" s="5">
        <v>4</v>
      </c>
      <c r="DV6" s="5">
        <v>6</v>
      </c>
      <c r="DW6" s="5">
        <v>7</v>
      </c>
      <c r="DX6" s="5">
        <v>5</v>
      </c>
      <c r="DY6" s="5">
        <v>6</v>
      </c>
      <c r="DZ6" s="5">
        <v>7</v>
      </c>
      <c r="EA6" s="5">
        <v>7</v>
      </c>
      <c r="EB6" s="5">
        <v>7</v>
      </c>
      <c r="EC6" s="5">
        <v>4</v>
      </c>
      <c r="ED6" s="5">
        <v>7</v>
      </c>
      <c r="EE6" s="5">
        <v>7</v>
      </c>
      <c r="EF6" s="5">
        <v>7</v>
      </c>
    </row>
    <row r="7" spans="1:136" ht="15.75" customHeight="1" x14ac:dyDescent="0.15">
      <c r="A7" s="1">
        <v>45641.744618969911</v>
      </c>
      <c r="C7" s="2">
        <v>4</v>
      </c>
      <c r="D7" s="2">
        <v>6</v>
      </c>
      <c r="E7" s="2">
        <v>4</v>
      </c>
      <c r="F7" s="2">
        <v>6</v>
      </c>
      <c r="G7" s="2">
        <v>6</v>
      </c>
      <c r="H7" s="2">
        <v>3</v>
      </c>
      <c r="I7" s="2">
        <v>4</v>
      </c>
      <c r="J7" s="2">
        <v>5</v>
      </c>
      <c r="K7" s="2">
        <v>6</v>
      </c>
      <c r="L7" s="2">
        <v>5</v>
      </c>
      <c r="M7" s="2">
        <v>4</v>
      </c>
      <c r="N7" s="2">
        <v>5</v>
      </c>
      <c r="O7" s="2">
        <v>5</v>
      </c>
      <c r="P7" s="2">
        <v>5</v>
      </c>
      <c r="Q7" s="2">
        <v>4</v>
      </c>
      <c r="R7" s="2">
        <v>4</v>
      </c>
      <c r="S7" s="2"/>
      <c r="T7" s="2">
        <v>5</v>
      </c>
      <c r="U7" s="2">
        <v>4</v>
      </c>
      <c r="V7" s="2">
        <v>4</v>
      </c>
      <c r="W7" s="2">
        <v>7</v>
      </c>
      <c r="X7" s="2">
        <v>4</v>
      </c>
      <c r="Y7" s="2">
        <v>7</v>
      </c>
      <c r="Z7" s="2">
        <v>7</v>
      </c>
      <c r="AA7" s="2">
        <v>6</v>
      </c>
      <c r="AB7" s="2">
        <v>5</v>
      </c>
      <c r="AC7" s="2">
        <v>5</v>
      </c>
      <c r="AD7" s="2">
        <v>3</v>
      </c>
      <c r="AE7" s="2">
        <v>6</v>
      </c>
      <c r="AF7" s="2">
        <v>6</v>
      </c>
      <c r="AG7" s="2">
        <v>6</v>
      </c>
      <c r="AH7" s="2">
        <v>6</v>
      </c>
      <c r="AI7" s="2">
        <v>7</v>
      </c>
      <c r="AJ7" s="2">
        <v>6</v>
      </c>
      <c r="AK7" s="2">
        <v>3</v>
      </c>
      <c r="AL7" s="2">
        <v>3</v>
      </c>
      <c r="AM7" s="2">
        <v>5</v>
      </c>
      <c r="AN7" s="2">
        <v>7</v>
      </c>
      <c r="AO7" s="2">
        <v>7</v>
      </c>
      <c r="AP7" s="2">
        <v>5</v>
      </c>
      <c r="AQ7" s="2">
        <v>5</v>
      </c>
      <c r="AR7" s="2">
        <v>7</v>
      </c>
      <c r="AS7" s="3">
        <v>4</v>
      </c>
      <c r="AT7" s="2">
        <v>7</v>
      </c>
      <c r="AU7" s="2">
        <v>5</v>
      </c>
      <c r="AV7" s="2">
        <v>5</v>
      </c>
      <c r="AW7" s="2">
        <v>6</v>
      </c>
      <c r="AX7" s="2">
        <v>5</v>
      </c>
      <c r="AY7" s="2">
        <v>4</v>
      </c>
      <c r="AZ7" s="2">
        <v>7</v>
      </c>
      <c r="BA7" s="2">
        <v>6</v>
      </c>
      <c r="BB7" s="2">
        <v>7</v>
      </c>
      <c r="BC7" s="2">
        <v>5</v>
      </c>
      <c r="BD7" s="2">
        <v>4</v>
      </c>
      <c r="BE7" s="2">
        <v>6</v>
      </c>
      <c r="BF7" s="2">
        <v>3</v>
      </c>
      <c r="BG7" s="2"/>
      <c r="BH7" s="2">
        <v>4</v>
      </c>
      <c r="BI7" s="2">
        <v>4</v>
      </c>
      <c r="BJ7" s="2">
        <v>7</v>
      </c>
      <c r="BK7" s="2">
        <v>7</v>
      </c>
      <c r="BL7" s="2">
        <v>7</v>
      </c>
      <c r="BM7" s="2">
        <v>7</v>
      </c>
      <c r="BN7" s="2">
        <v>5</v>
      </c>
      <c r="BO7" s="2">
        <v>7</v>
      </c>
      <c r="BP7" s="2">
        <v>6</v>
      </c>
      <c r="BQ7" s="2">
        <v>4</v>
      </c>
      <c r="BR7" s="2">
        <v>6</v>
      </c>
      <c r="BS7" s="2">
        <v>3</v>
      </c>
      <c r="BT7" s="2">
        <v>7</v>
      </c>
      <c r="BU7" s="2">
        <v>7</v>
      </c>
      <c r="BV7" s="2">
        <v>7</v>
      </c>
      <c r="BW7" s="2">
        <v>6</v>
      </c>
      <c r="BX7" s="2">
        <v>6</v>
      </c>
      <c r="BY7" s="2">
        <v>4</v>
      </c>
      <c r="BZ7" s="2">
        <v>5</v>
      </c>
      <c r="CA7" s="2">
        <v>7</v>
      </c>
      <c r="CB7" s="2">
        <v>5</v>
      </c>
      <c r="CC7" s="2">
        <v>5</v>
      </c>
      <c r="CD7" s="2">
        <v>5</v>
      </c>
      <c r="CE7" s="2">
        <v>7</v>
      </c>
      <c r="CF7" s="2">
        <v>7</v>
      </c>
      <c r="CG7" s="2">
        <v>6</v>
      </c>
      <c r="CH7" s="2">
        <v>4</v>
      </c>
      <c r="CI7" s="2"/>
      <c r="CJ7" s="2">
        <v>7</v>
      </c>
      <c r="CK7" s="2">
        <v>5</v>
      </c>
      <c r="CL7" s="2">
        <v>5</v>
      </c>
      <c r="CM7" s="2">
        <v>5</v>
      </c>
      <c r="CN7" s="2">
        <v>7</v>
      </c>
      <c r="CO7" s="2">
        <v>7</v>
      </c>
      <c r="CP7" s="2">
        <v>7</v>
      </c>
      <c r="CQ7" s="2">
        <v>7</v>
      </c>
      <c r="CR7" s="2">
        <v>6</v>
      </c>
      <c r="CS7" s="2">
        <v>6</v>
      </c>
      <c r="CT7" s="2">
        <v>6</v>
      </c>
      <c r="CU7" s="2">
        <v>6</v>
      </c>
      <c r="CV7" s="2">
        <v>6</v>
      </c>
      <c r="CW7" s="2">
        <v>6</v>
      </c>
      <c r="CX7" s="2">
        <v>6</v>
      </c>
      <c r="CY7" s="2">
        <v>5</v>
      </c>
      <c r="CZ7" s="2">
        <v>6</v>
      </c>
      <c r="DA7" s="2">
        <v>5</v>
      </c>
      <c r="DB7" s="2">
        <v>5</v>
      </c>
      <c r="DC7" s="2">
        <v>5</v>
      </c>
      <c r="DD7" s="2"/>
      <c r="DE7" s="2">
        <v>6</v>
      </c>
      <c r="DF7" s="2">
        <v>6</v>
      </c>
      <c r="DG7" s="2">
        <v>6</v>
      </c>
      <c r="DH7" s="2">
        <v>6</v>
      </c>
      <c r="DI7" s="2">
        <v>5</v>
      </c>
      <c r="DJ7" s="2">
        <v>7</v>
      </c>
      <c r="DK7" s="2">
        <v>7</v>
      </c>
      <c r="DL7" s="2">
        <v>6</v>
      </c>
      <c r="DM7" s="2">
        <v>6</v>
      </c>
      <c r="DN7" s="2">
        <v>5</v>
      </c>
      <c r="DO7" s="2">
        <v>6</v>
      </c>
      <c r="DP7" s="2">
        <v>5</v>
      </c>
      <c r="DQ7" s="2">
        <v>6</v>
      </c>
      <c r="DR7" s="2">
        <v>7</v>
      </c>
      <c r="DS7" s="2">
        <v>5</v>
      </c>
      <c r="DT7" s="2">
        <v>6</v>
      </c>
      <c r="DU7" s="2">
        <v>6</v>
      </c>
      <c r="DV7" s="2">
        <v>5</v>
      </c>
      <c r="DW7" s="2">
        <v>5</v>
      </c>
      <c r="DX7" s="2">
        <v>5</v>
      </c>
      <c r="DY7" s="2">
        <v>7</v>
      </c>
      <c r="DZ7" s="2">
        <v>7</v>
      </c>
      <c r="EA7" s="2">
        <v>7</v>
      </c>
      <c r="EB7" s="2">
        <v>5</v>
      </c>
      <c r="EC7" s="2">
        <v>5</v>
      </c>
      <c r="ED7" s="2">
        <v>5</v>
      </c>
      <c r="EE7" s="2">
        <v>5</v>
      </c>
      <c r="EF7" s="2">
        <v>4</v>
      </c>
    </row>
    <row r="8" spans="1:136" ht="15.75" customHeight="1" x14ac:dyDescent="0.15">
      <c r="A8" s="4">
        <v>45642.790740381941</v>
      </c>
      <c r="C8" s="5">
        <v>7</v>
      </c>
      <c r="D8" s="5">
        <v>7</v>
      </c>
      <c r="E8" s="5">
        <v>7</v>
      </c>
      <c r="F8" s="5">
        <v>5</v>
      </c>
      <c r="G8" s="5">
        <v>5</v>
      </c>
      <c r="H8" s="5">
        <v>6</v>
      </c>
      <c r="I8" s="5">
        <v>7</v>
      </c>
      <c r="J8" s="5">
        <v>7</v>
      </c>
      <c r="K8" s="5">
        <v>7</v>
      </c>
      <c r="L8" s="5">
        <v>4</v>
      </c>
      <c r="M8" s="5">
        <v>4</v>
      </c>
      <c r="N8" s="5">
        <v>7</v>
      </c>
      <c r="O8" s="5">
        <v>7</v>
      </c>
      <c r="P8" s="5">
        <v>7</v>
      </c>
      <c r="Q8" s="5">
        <v>7</v>
      </c>
      <c r="R8" s="5">
        <v>7</v>
      </c>
      <c r="S8" s="5"/>
      <c r="T8" s="5">
        <v>7</v>
      </c>
      <c r="U8" s="5">
        <v>7</v>
      </c>
      <c r="V8" s="5">
        <v>7</v>
      </c>
      <c r="W8" s="5">
        <v>7</v>
      </c>
      <c r="X8" s="5">
        <v>7</v>
      </c>
      <c r="Y8" s="5">
        <v>7</v>
      </c>
      <c r="Z8" s="5">
        <v>7</v>
      </c>
      <c r="AA8" s="5">
        <v>7</v>
      </c>
      <c r="AB8" s="5">
        <v>7</v>
      </c>
      <c r="AC8" s="5">
        <v>7</v>
      </c>
      <c r="AD8" s="5">
        <v>6</v>
      </c>
      <c r="AE8" s="5">
        <v>7</v>
      </c>
      <c r="AF8" s="5">
        <v>7</v>
      </c>
      <c r="AG8" s="5">
        <v>7</v>
      </c>
      <c r="AH8" s="5">
        <v>7</v>
      </c>
      <c r="AI8" s="5">
        <v>7</v>
      </c>
      <c r="AJ8" s="5">
        <v>7</v>
      </c>
      <c r="AK8" s="5">
        <v>7</v>
      </c>
      <c r="AL8" s="5">
        <v>7</v>
      </c>
      <c r="AM8" s="5">
        <v>7</v>
      </c>
      <c r="AN8" s="5">
        <v>7</v>
      </c>
      <c r="AO8" s="5">
        <v>7</v>
      </c>
      <c r="AP8" s="5">
        <v>7</v>
      </c>
      <c r="AQ8" s="5">
        <v>7</v>
      </c>
      <c r="AR8" s="5">
        <v>7</v>
      </c>
      <c r="AS8" s="6">
        <v>7</v>
      </c>
      <c r="AT8" s="5">
        <v>7</v>
      </c>
      <c r="AU8" s="5">
        <v>7</v>
      </c>
      <c r="AV8" s="5">
        <v>7</v>
      </c>
      <c r="AW8" s="5">
        <v>7</v>
      </c>
      <c r="AX8" s="5">
        <v>7</v>
      </c>
      <c r="AY8" s="5">
        <v>7</v>
      </c>
      <c r="AZ8" s="5">
        <v>7</v>
      </c>
      <c r="BA8" s="5">
        <v>6</v>
      </c>
      <c r="BB8" s="5">
        <v>7</v>
      </c>
      <c r="BC8" s="5">
        <v>5</v>
      </c>
      <c r="BD8" s="5">
        <v>7</v>
      </c>
      <c r="BE8" s="5">
        <v>7</v>
      </c>
      <c r="BF8" s="5">
        <v>7</v>
      </c>
      <c r="BG8" s="5"/>
      <c r="BH8" s="5">
        <v>7</v>
      </c>
      <c r="BI8" s="5">
        <v>7</v>
      </c>
      <c r="BJ8" s="5">
        <v>6</v>
      </c>
      <c r="BK8" s="5">
        <v>7</v>
      </c>
      <c r="BL8" s="5">
        <v>5</v>
      </c>
      <c r="BM8" s="5">
        <v>5</v>
      </c>
      <c r="BN8" s="5">
        <v>6</v>
      </c>
      <c r="BO8" s="5">
        <v>6</v>
      </c>
      <c r="BP8" s="5">
        <v>7</v>
      </c>
      <c r="BQ8" s="5">
        <v>7</v>
      </c>
      <c r="BR8" s="5">
        <v>5</v>
      </c>
      <c r="BS8" s="5">
        <v>7</v>
      </c>
      <c r="BT8" s="5">
        <v>7</v>
      </c>
      <c r="BU8" s="5">
        <v>7</v>
      </c>
      <c r="BV8" s="5">
        <v>7</v>
      </c>
      <c r="BW8" s="5">
        <v>7</v>
      </c>
      <c r="BX8" s="5">
        <v>7</v>
      </c>
      <c r="BY8" s="5">
        <v>6</v>
      </c>
      <c r="BZ8" s="5">
        <v>7</v>
      </c>
      <c r="CA8" s="5">
        <v>7</v>
      </c>
      <c r="CB8" s="5">
        <v>7</v>
      </c>
      <c r="CC8" s="5">
        <v>7</v>
      </c>
      <c r="CD8" s="5">
        <v>7</v>
      </c>
      <c r="CE8" s="5">
        <v>7</v>
      </c>
      <c r="CF8" s="5">
        <v>7</v>
      </c>
      <c r="CG8" s="5">
        <v>7</v>
      </c>
      <c r="CH8" s="5">
        <v>7</v>
      </c>
      <c r="CI8" s="5"/>
      <c r="CJ8" s="5">
        <v>7</v>
      </c>
      <c r="CK8" s="5">
        <v>6</v>
      </c>
      <c r="CL8" s="5">
        <v>5</v>
      </c>
      <c r="CM8" s="5">
        <v>2</v>
      </c>
      <c r="CN8" s="5">
        <v>6</v>
      </c>
      <c r="CO8" s="5">
        <v>6</v>
      </c>
      <c r="CP8" s="5">
        <v>5</v>
      </c>
      <c r="CQ8" s="5">
        <v>6</v>
      </c>
      <c r="CR8" s="5">
        <v>7</v>
      </c>
      <c r="CS8" s="5">
        <v>6</v>
      </c>
      <c r="CT8" s="5">
        <v>6</v>
      </c>
      <c r="CU8" s="5">
        <v>7</v>
      </c>
      <c r="CV8" s="5">
        <v>7</v>
      </c>
      <c r="CW8" s="5">
        <v>7</v>
      </c>
      <c r="CX8" s="5">
        <v>3</v>
      </c>
      <c r="CY8" s="5">
        <v>6</v>
      </c>
      <c r="CZ8" s="5">
        <v>6</v>
      </c>
      <c r="DA8" s="5">
        <v>6</v>
      </c>
      <c r="DB8" s="5">
        <v>6</v>
      </c>
      <c r="DC8" s="5">
        <v>6</v>
      </c>
      <c r="DD8" s="5"/>
      <c r="DE8" s="5">
        <v>7</v>
      </c>
      <c r="DF8" s="5">
        <v>7</v>
      </c>
      <c r="DG8" s="5">
        <v>7</v>
      </c>
      <c r="DH8" s="5">
        <v>6</v>
      </c>
      <c r="DI8" s="5">
        <v>6</v>
      </c>
      <c r="DJ8" s="5">
        <v>7</v>
      </c>
      <c r="DK8" s="5">
        <v>7</v>
      </c>
      <c r="DL8" s="5">
        <v>7</v>
      </c>
      <c r="DM8" s="5">
        <v>7</v>
      </c>
      <c r="DN8" s="5">
        <v>7</v>
      </c>
      <c r="DO8" s="5">
        <v>7</v>
      </c>
      <c r="DP8" s="5">
        <v>7</v>
      </c>
      <c r="DQ8" s="5">
        <v>7</v>
      </c>
      <c r="DR8" s="5">
        <v>7</v>
      </c>
      <c r="DS8" s="5">
        <v>7</v>
      </c>
      <c r="DT8" s="5">
        <v>6</v>
      </c>
      <c r="DU8" s="5">
        <v>6</v>
      </c>
      <c r="DV8" s="5">
        <v>5</v>
      </c>
      <c r="DW8" s="5">
        <v>6</v>
      </c>
      <c r="DX8" s="5">
        <v>6</v>
      </c>
      <c r="DY8" s="5">
        <v>7</v>
      </c>
      <c r="DZ8" s="5">
        <v>7</v>
      </c>
      <c r="EA8" s="5">
        <v>7</v>
      </c>
      <c r="EB8" s="5">
        <v>5</v>
      </c>
      <c r="EC8" s="5">
        <v>7</v>
      </c>
      <c r="ED8" s="5">
        <v>5</v>
      </c>
      <c r="EE8" s="5">
        <v>7</v>
      </c>
      <c r="EF8" s="5">
        <v>7</v>
      </c>
    </row>
    <row r="9" spans="1:136" ht="15.75" customHeight="1" x14ac:dyDescent="0.15">
      <c r="A9" s="1">
        <v>45642.887059212968</v>
      </c>
      <c r="C9" s="2">
        <v>7</v>
      </c>
      <c r="D9" s="2">
        <v>7</v>
      </c>
      <c r="E9" s="2">
        <v>7</v>
      </c>
      <c r="F9" s="2">
        <v>4</v>
      </c>
      <c r="G9" s="2">
        <v>5</v>
      </c>
      <c r="H9" s="2">
        <v>7</v>
      </c>
      <c r="I9" s="2">
        <v>7</v>
      </c>
      <c r="J9" s="2">
        <v>7</v>
      </c>
      <c r="K9" s="2">
        <v>7</v>
      </c>
      <c r="L9" s="2">
        <v>6</v>
      </c>
      <c r="M9" s="2">
        <v>4</v>
      </c>
      <c r="N9" s="2">
        <v>7</v>
      </c>
      <c r="O9" s="2">
        <v>4</v>
      </c>
      <c r="P9" s="2">
        <v>4</v>
      </c>
      <c r="Q9" s="2">
        <v>7</v>
      </c>
      <c r="R9" s="2">
        <v>7</v>
      </c>
      <c r="S9" s="2"/>
      <c r="T9" s="2">
        <v>7</v>
      </c>
      <c r="U9" s="2">
        <v>7</v>
      </c>
      <c r="V9" s="2">
        <v>5</v>
      </c>
      <c r="W9" s="2">
        <v>6</v>
      </c>
      <c r="X9" s="2">
        <v>7</v>
      </c>
      <c r="Y9" s="2">
        <v>5</v>
      </c>
      <c r="Z9" s="2">
        <v>7</v>
      </c>
      <c r="AA9" s="2">
        <v>6</v>
      </c>
      <c r="AB9" s="2">
        <v>5</v>
      </c>
      <c r="AC9" s="2">
        <v>6</v>
      </c>
      <c r="AD9" s="2">
        <v>6</v>
      </c>
      <c r="AE9" s="2">
        <v>7</v>
      </c>
      <c r="AF9" s="2">
        <v>7</v>
      </c>
      <c r="AG9" s="2">
        <v>6</v>
      </c>
      <c r="AH9" s="2">
        <v>6</v>
      </c>
      <c r="AI9" s="2">
        <v>6</v>
      </c>
      <c r="AJ9" s="2">
        <v>5</v>
      </c>
      <c r="AK9" s="2">
        <v>4</v>
      </c>
      <c r="AL9" s="2">
        <v>4</v>
      </c>
      <c r="AM9" s="2">
        <v>7</v>
      </c>
      <c r="AN9" s="2">
        <v>7</v>
      </c>
      <c r="AO9" s="2">
        <v>4</v>
      </c>
      <c r="AP9" s="2">
        <v>5</v>
      </c>
      <c r="AQ9" s="2">
        <v>3</v>
      </c>
      <c r="AR9" s="2">
        <v>7</v>
      </c>
      <c r="AS9" s="3">
        <v>5</v>
      </c>
      <c r="AT9" s="2">
        <v>6</v>
      </c>
      <c r="AU9" s="2">
        <v>6</v>
      </c>
      <c r="AV9" s="2">
        <v>4</v>
      </c>
      <c r="AW9" s="2">
        <v>6</v>
      </c>
      <c r="AX9" s="2">
        <v>7</v>
      </c>
      <c r="AY9" s="2">
        <v>7</v>
      </c>
      <c r="AZ9" s="2">
        <v>5</v>
      </c>
      <c r="BA9" s="2">
        <v>3</v>
      </c>
      <c r="BB9" s="2">
        <v>6</v>
      </c>
      <c r="BC9" s="2">
        <v>4</v>
      </c>
      <c r="BD9" s="2">
        <v>5</v>
      </c>
      <c r="BE9" s="2">
        <v>7</v>
      </c>
      <c r="BF9" s="2">
        <v>7</v>
      </c>
      <c r="BG9" s="2"/>
      <c r="BH9" s="2">
        <v>7</v>
      </c>
      <c r="BI9" s="2">
        <v>6</v>
      </c>
      <c r="BJ9" s="2">
        <v>3</v>
      </c>
      <c r="BK9" s="2">
        <v>6</v>
      </c>
      <c r="BL9" s="2">
        <v>7</v>
      </c>
      <c r="BM9" s="2">
        <v>5</v>
      </c>
      <c r="BN9" s="2">
        <v>5</v>
      </c>
      <c r="BO9" s="2">
        <v>5</v>
      </c>
      <c r="BP9" s="2">
        <v>5</v>
      </c>
      <c r="BQ9" s="2">
        <v>7</v>
      </c>
      <c r="BR9" s="2">
        <v>6</v>
      </c>
      <c r="BS9" s="2">
        <v>6</v>
      </c>
      <c r="BT9" s="2">
        <v>7</v>
      </c>
      <c r="BU9" s="2">
        <v>7</v>
      </c>
      <c r="BV9" s="2">
        <v>7</v>
      </c>
      <c r="BW9" s="2">
        <v>7</v>
      </c>
      <c r="BX9" s="2">
        <v>5</v>
      </c>
      <c r="BY9" s="2">
        <v>5</v>
      </c>
      <c r="BZ9" s="2">
        <v>6</v>
      </c>
      <c r="CA9" s="2">
        <v>7</v>
      </c>
      <c r="CB9" s="2">
        <v>6</v>
      </c>
      <c r="CC9" s="2">
        <v>6</v>
      </c>
      <c r="CD9" s="2">
        <v>5</v>
      </c>
      <c r="CE9" s="2">
        <v>5</v>
      </c>
      <c r="CF9" s="2">
        <v>5</v>
      </c>
      <c r="CG9" s="2">
        <v>7</v>
      </c>
      <c r="CH9" s="2">
        <v>6</v>
      </c>
      <c r="CI9" s="2"/>
      <c r="CJ9" s="2">
        <v>6</v>
      </c>
      <c r="CK9" s="2">
        <v>6</v>
      </c>
      <c r="CL9" s="2">
        <v>6</v>
      </c>
      <c r="CM9" s="2">
        <v>4</v>
      </c>
      <c r="CN9" s="2">
        <v>4</v>
      </c>
      <c r="CO9" s="2">
        <v>6</v>
      </c>
      <c r="CP9" s="2">
        <v>6</v>
      </c>
      <c r="CQ9" s="2">
        <v>5</v>
      </c>
      <c r="CR9" s="2">
        <v>5</v>
      </c>
      <c r="CS9" s="2">
        <v>5</v>
      </c>
      <c r="CT9" s="2">
        <v>6</v>
      </c>
      <c r="CU9" s="2">
        <v>7</v>
      </c>
      <c r="CV9" s="2">
        <v>6</v>
      </c>
      <c r="CW9" s="2">
        <v>6</v>
      </c>
      <c r="CX9" s="2">
        <v>4</v>
      </c>
      <c r="CY9" s="2">
        <v>1</v>
      </c>
      <c r="CZ9" s="2">
        <v>4</v>
      </c>
      <c r="DA9" s="2">
        <v>6</v>
      </c>
      <c r="DB9" s="2">
        <v>5</v>
      </c>
      <c r="DC9" s="2">
        <v>5</v>
      </c>
      <c r="DD9" s="2"/>
      <c r="DE9" s="2">
        <v>7</v>
      </c>
      <c r="DF9" s="2">
        <v>7</v>
      </c>
      <c r="DG9" s="2">
        <v>6</v>
      </c>
      <c r="DH9" s="2">
        <v>6</v>
      </c>
      <c r="DI9" s="2">
        <v>6</v>
      </c>
      <c r="DJ9" s="2">
        <v>7</v>
      </c>
      <c r="DK9" s="2">
        <v>5</v>
      </c>
      <c r="DL9" s="2">
        <v>7</v>
      </c>
      <c r="DM9" s="2">
        <v>7</v>
      </c>
      <c r="DN9" s="2">
        <v>6</v>
      </c>
      <c r="DO9" s="2">
        <v>6</v>
      </c>
      <c r="DP9" s="2">
        <v>6</v>
      </c>
      <c r="DQ9" s="2">
        <v>7</v>
      </c>
      <c r="DR9" s="2">
        <v>7</v>
      </c>
      <c r="DS9" s="2">
        <v>7</v>
      </c>
      <c r="DT9" s="2">
        <v>5</v>
      </c>
      <c r="DU9" s="2">
        <v>7</v>
      </c>
      <c r="DV9" s="2">
        <v>7</v>
      </c>
      <c r="DW9" s="2">
        <v>6</v>
      </c>
      <c r="DX9" s="2">
        <v>6</v>
      </c>
      <c r="DY9" s="2">
        <v>5</v>
      </c>
      <c r="DZ9" s="2">
        <v>7</v>
      </c>
      <c r="EA9" s="2">
        <v>7</v>
      </c>
      <c r="EB9" s="2">
        <v>2</v>
      </c>
      <c r="EC9" s="2">
        <v>2</v>
      </c>
      <c r="ED9" s="2">
        <v>4</v>
      </c>
      <c r="EE9" s="2">
        <v>4</v>
      </c>
      <c r="EF9" s="2">
        <v>5</v>
      </c>
    </row>
    <row r="10" spans="1:136" ht="15.75" customHeight="1" x14ac:dyDescent="0.15">
      <c r="A10" s="4">
        <v>45647.504390000002</v>
      </c>
      <c r="C10" s="5">
        <v>7</v>
      </c>
      <c r="D10" s="5">
        <v>4</v>
      </c>
      <c r="E10" s="5">
        <v>4</v>
      </c>
      <c r="F10" s="5">
        <v>7</v>
      </c>
      <c r="G10" s="5">
        <v>7</v>
      </c>
      <c r="H10" s="5">
        <v>4</v>
      </c>
      <c r="I10" s="5">
        <v>7</v>
      </c>
      <c r="J10" s="5">
        <v>1</v>
      </c>
      <c r="K10" s="5">
        <v>7</v>
      </c>
      <c r="L10" s="5">
        <v>7</v>
      </c>
      <c r="M10" s="5">
        <v>7</v>
      </c>
      <c r="N10" s="5">
        <v>7</v>
      </c>
      <c r="O10" s="5">
        <v>7</v>
      </c>
      <c r="P10" s="5">
        <v>7</v>
      </c>
      <c r="Q10" s="5">
        <v>7</v>
      </c>
      <c r="R10" s="5">
        <v>7</v>
      </c>
      <c r="S10" s="5"/>
      <c r="T10" s="5">
        <v>7</v>
      </c>
      <c r="U10" s="5">
        <v>7</v>
      </c>
      <c r="V10" s="5">
        <v>4</v>
      </c>
      <c r="W10" s="5">
        <v>7</v>
      </c>
      <c r="X10" s="5">
        <v>7</v>
      </c>
      <c r="Y10" s="5">
        <v>7</v>
      </c>
      <c r="Z10" s="5">
        <v>7</v>
      </c>
      <c r="AA10" s="5">
        <v>7</v>
      </c>
      <c r="AB10" s="5">
        <v>7</v>
      </c>
      <c r="AC10" s="5">
        <v>7</v>
      </c>
      <c r="AD10" s="5">
        <v>7</v>
      </c>
      <c r="AE10" s="5">
        <v>7</v>
      </c>
      <c r="AF10" s="5">
        <v>7</v>
      </c>
      <c r="AG10" s="5">
        <v>7</v>
      </c>
      <c r="AH10" s="5">
        <v>7</v>
      </c>
      <c r="AI10" s="5">
        <v>7</v>
      </c>
      <c r="AJ10" s="5">
        <v>7</v>
      </c>
      <c r="AK10" s="5">
        <v>7</v>
      </c>
      <c r="AL10" s="5">
        <v>7</v>
      </c>
      <c r="AM10" s="5">
        <v>7</v>
      </c>
      <c r="AN10" s="5">
        <v>7</v>
      </c>
      <c r="AO10" s="5">
        <v>4</v>
      </c>
      <c r="AP10" s="5">
        <v>7</v>
      </c>
      <c r="AQ10" s="5">
        <v>7</v>
      </c>
      <c r="AR10" s="5">
        <v>7</v>
      </c>
      <c r="AS10" s="6">
        <v>1</v>
      </c>
      <c r="AT10" s="5">
        <v>7</v>
      </c>
      <c r="AU10" s="5">
        <v>7</v>
      </c>
      <c r="AV10" s="5">
        <v>7</v>
      </c>
      <c r="AW10" s="5">
        <v>7</v>
      </c>
      <c r="AX10" s="5">
        <v>7</v>
      </c>
      <c r="AY10" s="5">
        <v>7</v>
      </c>
      <c r="AZ10" s="5">
        <v>7</v>
      </c>
      <c r="BA10" s="5">
        <v>7</v>
      </c>
      <c r="BB10" s="5">
        <v>4</v>
      </c>
      <c r="BC10" s="5">
        <v>7</v>
      </c>
      <c r="BD10" s="5">
        <v>1</v>
      </c>
      <c r="BE10" s="5">
        <v>7</v>
      </c>
      <c r="BF10" s="5">
        <v>7</v>
      </c>
      <c r="BG10" s="5"/>
      <c r="BH10" s="5">
        <v>7</v>
      </c>
      <c r="BI10" s="5">
        <v>7</v>
      </c>
      <c r="BJ10" s="5">
        <v>7</v>
      </c>
      <c r="BK10" s="5">
        <v>7</v>
      </c>
      <c r="BL10" s="5">
        <v>7</v>
      </c>
      <c r="BM10" s="5">
        <v>7</v>
      </c>
      <c r="BN10" s="5">
        <v>7</v>
      </c>
      <c r="BO10" s="5">
        <v>7</v>
      </c>
      <c r="BP10" s="5">
        <v>7</v>
      </c>
      <c r="BQ10" s="5">
        <v>7</v>
      </c>
      <c r="BR10" s="5">
        <v>7</v>
      </c>
      <c r="BS10" s="5">
        <v>7</v>
      </c>
      <c r="BT10" s="5">
        <v>7</v>
      </c>
      <c r="BU10" s="5">
        <v>7</v>
      </c>
      <c r="BV10" s="5">
        <v>7</v>
      </c>
      <c r="BW10" s="5">
        <v>7</v>
      </c>
      <c r="BX10" s="5">
        <v>7</v>
      </c>
      <c r="BY10" s="5">
        <v>7</v>
      </c>
      <c r="BZ10" s="5">
        <v>7</v>
      </c>
      <c r="CA10" s="5">
        <v>7</v>
      </c>
      <c r="CB10" s="5">
        <v>7</v>
      </c>
      <c r="CC10" s="5">
        <v>7</v>
      </c>
      <c r="CD10" s="5">
        <v>7</v>
      </c>
      <c r="CE10" s="5">
        <v>7</v>
      </c>
      <c r="CF10" s="5">
        <v>7</v>
      </c>
      <c r="CG10" s="5">
        <v>7</v>
      </c>
      <c r="CH10" s="5">
        <v>7</v>
      </c>
      <c r="CI10" s="5"/>
      <c r="CJ10" s="5">
        <v>7</v>
      </c>
      <c r="CK10" s="5">
        <v>7</v>
      </c>
      <c r="CL10" s="5">
        <v>7</v>
      </c>
      <c r="CM10" s="5">
        <v>7</v>
      </c>
      <c r="CN10" s="5">
        <v>7</v>
      </c>
      <c r="CO10" s="5">
        <v>7</v>
      </c>
      <c r="CP10" s="5">
        <v>7</v>
      </c>
      <c r="CQ10" s="5">
        <v>7</v>
      </c>
      <c r="CR10" s="5">
        <v>7</v>
      </c>
      <c r="CS10" s="5">
        <v>1</v>
      </c>
      <c r="CT10" s="5">
        <v>7</v>
      </c>
      <c r="CU10" s="5">
        <v>7</v>
      </c>
      <c r="CV10" s="5">
        <v>7</v>
      </c>
      <c r="CW10" s="5">
        <v>7</v>
      </c>
      <c r="CX10" s="5">
        <v>1</v>
      </c>
      <c r="CY10" s="5">
        <v>7</v>
      </c>
      <c r="CZ10" s="5">
        <v>7</v>
      </c>
      <c r="DA10" s="5">
        <v>7</v>
      </c>
      <c r="DB10" s="5">
        <v>7</v>
      </c>
      <c r="DC10" s="5">
        <v>7</v>
      </c>
      <c r="DD10" s="5"/>
      <c r="DE10" s="5">
        <v>7</v>
      </c>
      <c r="DF10" s="5">
        <v>1</v>
      </c>
      <c r="DG10" s="5">
        <v>7</v>
      </c>
      <c r="DH10" s="5">
        <v>7</v>
      </c>
      <c r="DI10" s="5">
        <v>7</v>
      </c>
      <c r="DJ10" s="5">
        <v>7</v>
      </c>
      <c r="DK10" s="5">
        <v>7</v>
      </c>
      <c r="DL10" s="5">
        <v>7</v>
      </c>
      <c r="DM10" s="5">
        <v>7</v>
      </c>
      <c r="DN10" s="5">
        <v>7</v>
      </c>
      <c r="DO10" s="5">
        <v>7</v>
      </c>
      <c r="DP10" s="5">
        <v>7</v>
      </c>
      <c r="DQ10" s="5">
        <v>7</v>
      </c>
      <c r="DR10" s="5">
        <v>7</v>
      </c>
      <c r="DS10" s="5">
        <v>7</v>
      </c>
      <c r="DT10" s="5">
        <v>7</v>
      </c>
      <c r="DU10" s="5">
        <v>7</v>
      </c>
      <c r="DV10" s="5">
        <v>7</v>
      </c>
      <c r="DW10" s="5">
        <v>7</v>
      </c>
      <c r="DX10" s="5">
        <v>7</v>
      </c>
      <c r="DY10" s="5">
        <v>7</v>
      </c>
      <c r="DZ10" s="5">
        <v>7</v>
      </c>
      <c r="EA10" s="5">
        <v>7</v>
      </c>
      <c r="EB10" s="5">
        <v>7</v>
      </c>
      <c r="EC10" s="5">
        <v>7</v>
      </c>
      <c r="ED10" s="5">
        <v>7</v>
      </c>
      <c r="EE10" s="5">
        <v>7</v>
      </c>
      <c r="EF10" s="5">
        <v>7</v>
      </c>
    </row>
    <row r="11" spans="1:136" ht="15.75" customHeight="1" x14ac:dyDescent="0.15">
      <c r="A11" s="1">
        <v>45648.57892</v>
      </c>
      <c r="C11" s="2">
        <v>7</v>
      </c>
      <c r="D11" s="2">
        <v>5</v>
      </c>
      <c r="E11" s="2">
        <v>7</v>
      </c>
      <c r="F11" s="2">
        <v>5</v>
      </c>
      <c r="G11" s="2">
        <v>7</v>
      </c>
      <c r="H11" s="2">
        <v>2</v>
      </c>
      <c r="I11" s="2">
        <v>6</v>
      </c>
      <c r="J11" s="2">
        <v>6</v>
      </c>
      <c r="K11" s="2">
        <v>5</v>
      </c>
      <c r="L11" s="2">
        <v>7</v>
      </c>
      <c r="M11" s="2">
        <v>6</v>
      </c>
      <c r="N11" s="2">
        <v>6</v>
      </c>
      <c r="O11" s="2">
        <v>6</v>
      </c>
      <c r="P11" s="2">
        <v>7</v>
      </c>
      <c r="Q11" s="2">
        <v>6</v>
      </c>
      <c r="R11" s="2">
        <v>6</v>
      </c>
      <c r="S11" s="2"/>
      <c r="T11" s="2">
        <v>6</v>
      </c>
      <c r="U11" s="2">
        <v>6</v>
      </c>
      <c r="V11" s="2">
        <v>7</v>
      </c>
      <c r="W11" s="2">
        <v>6</v>
      </c>
      <c r="X11" s="2">
        <v>6</v>
      </c>
      <c r="Y11" s="2">
        <v>6</v>
      </c>
      <c r="Z11" s="2">
        <v>3</v>
      </c>
      <c r="AA11" s="2">
        <v>7</v>
      </c>
      <c r="AB11" s="2">
        <v>2</v>
      </c>
      <c r="AC11" s="2">
        <v>7</v>
      </c>
      <c r="AD11" s="2">
        <v>7</v>
      </c>
      <c r="AE11" s="2">
        <v>7</v>
      </c>
      <c r="AF11" s="2">
        <v>6</v>
      </c>
      <c r="AG11" s="2">
        <v>7</v>
      </c>
      <c r="AH11" s="2">
        <v>7</v>
      </c>
      <c r="AI11" s="2">
        <v>7</v>
      </c>
      <c r="AJ11" s="2">
        <v>7</v>
      </c>
      <c r="AK11" s="2">
        <v>6</v>
      </c>
      <c r="AL11" s="2">
        <v>7</v>
      </c>
      <c r="AM11" s="2">
        <v>7</v>
      </c>
      <c r="AN11" s="2">
        <v>6</v>
      </c>
      <c r="AO11" s="2">
        <v>7</v>
      </c>
      <c r="AP11" s="2">
        <v>7</v>
      </c>
      <c r="AQ11" s="2">
        <v>4</v>
      </c>
      <c r="AR11" s="2">
        <v>5</v>
      </c>
      <c r="AS11" s="3">
        <v>6</v>
      </c>
      <c r="AT11" s="2">
        <v>7</v>
      </c>
      <c r="AU11" s="2">
        <v>7</v>
      </c>
      <c r="AV11" s="2">
        <v>7</v>
      </c>
      <c r="AW11" s="2">
        <v>7</v>
      </c>
      <c r="AX11" s="2">
        <v>7</v>
      </c>
      <c r="AY11" s="2">
        <v>7</v>
      </c>
      <c r="AZ11" s="2">
        <v>3</v>
      </c>
      <c r="BA11" s="2">
        <v>7</v>
      </c>
      <c r="BB11" s="2">
        <v>7</v>
      </c>
      <c r="BC11" s="2">
        <v>7</v>
      </c>
      <c r="BD11" s="2">
        <v>7</v>
      </c>
      <c r="BE11" s="2">
        <v>7</v>
      </c>
      <c r="BF11" s="2">
        <v>6</v>
      </c>
      <c r="BG11" s="2"/>
      <c r="BH11" s="2">
        <v>7</v>
      </c>
      <c r="BI11" s="2">
        <v>7</v>
      </c>
      <c r="BJ11" s="2">
        <v>7</v>
      </c>
      <c r="BK11" s="2">
        <v>7</v>
      </c>
      <c r="BL11" s="2">
        <v>7</v>
      </c>
      <c r="BM11" s="2">
        <v>6</v>
      </c>
      <c r="BN11" s="2">
        <v>5</v>
      </c>
      <c r="BO11" s="2">
        <v>6</v>
      </c>
      <c r="BP11" s="2">
        <v>6</v>
      </c>
      <c r="BQ11" s="2">
        <v>6</v>
      </c>
      <c r="BR11" s="2">
        <v>6</v>
      </c>
      <c r="BS11" s="2">
        <v>5</v>
      </c>
      <c r="BT11" s="2">
        <v>7</v>
      </c>
      <c r="BU11" s="2">
        <v>6</v>
      </c>
      <c r="BV11" s="2">
        <v>6</v>
      </c>
      <c r="BW11" s="2">
        <v>5</v>
      </c>
      <c r="BX11" s="2">
        <v>4</v>
      </c>
      <c r="BY11" s="2">
        <v>5</v>
      </c>
      <c r="BZ11" s="2">
        <v>7</v>
      </c>
      <c r="CA11" s="2">
        <v>7</v>
      </c>
      <c r="CB11" s="2">
        <v>6</v>
      </c>
      <c r="CC11" s="2">
        <v>6</v>
      </c>
      <c r="CD11" s="2">
        <v>7</v>
      </c>
      <c r="CE11" s="2">
        <v>6</v>
      </c>
      <c r="CF11" s="2">
        <v>6</v>
      </c>
      <c r="CG11" s="2">
        <v>7</v>
      </c>
      <c r="CH11" s="2">
        <v>7</v>
      </c>
      <c r="CI11" s="2"/>
      <c r="CJ11" s="2">
        <v>7</v>
      </c>
      <c r="CK11" s="2">
        <v>7</v>
      </c>
      <c r="CL11" s="2">
        <v>7</v>
      </c>
      <c r="CM11" s="2">
        <v>2</v>
      </c>
      <c r="CN11" s="2">
        <v>6</v>
      </c>
      <c r="CO11" s="2">
        <v>7</v>
      </c>
      <c r="CP11" s="2">
        <v>6</v>
      </c>
      <c r="CQ11" s="2">
        <v>7</v>
      </c>
      <c r="CR11" s="2">
        <v>7</v>
      </c>
      <c r="CS11" s="2">
        <v>6</v>
      </c>
      <c r="CT11" s="2">
        <v>7</v>
      </c>
      <c r="CU11" s="2">
        <v>5</v>
      </c>
      <c r="CV11" s="2">
        <v>6</v>
      </c>
      <c r="CW11" s="2">
        <v>7</v>
      </c>
      <c r="CX11" s="2">
        <v>6</v>
      </c>
      <c r="CY11" s="2">
        <v>7</v>
      </c>
      <c r="CZ11" s="2">
        <v>6</v>
      </c>
      <c r="DA11" s="2">
        <v>7</v>
      </c>
      <c r="DB11" s="2">
        <v>7</v>
      </c>
      <c r="DC11" s="2">
        <v>7</v>
      </c>
      <c r="DD11" s="2"/>
      <c r="DE11" s="2">
        <v>7</v>
      </c>
      <c r="DF11" s="2">
        <v>7</v>
      </c>
      <c r="DG11" s="2">
        <v>7</v>
      </c>
      <c r="DH11" s="2">
        <v>1</v>
      </c>
      <c r="DI11" s="2">
        <v>6</v>
      </c>
      <c r="DJ11" s="2">
        <v>7</v>
      </c>
      <c r="DK11" s="2">
        <v>7</v>
      </c>
      <c r="DL11" s="2">
        <v>7</v>
      </c>
      <c r="DM11" s="2">
        <v>7</v>
      </c>
      <c r="DN11" s="2">
        <v>7</v>
      </c>
      <c r="DO11" s="2">
        <v>7</v>
      </c>
      <c r="DP11" s="2">
        <v>7</v>
      </c>
      <c r="DQ11" s="2">
        <v>7</v>
      </c>
      <c r="DR11" s="2">
        <v>7</v>
      </c>
      <c r="DS11" s="2">
        <v>7</v>
      </c>
      <c r="DT11" s="2">
        <v>5</v>
      </c>
      <c r="DU11" s="2">
        <v>7</v>
      </c>
      <c r="DV11" s="2">
        <v>6</v>
      </c>
      <c r="DW11" s="2">
        <v>5</v>
      </c>
      <c r="DX11" s="2">
        <v>7</v>
      </c>
      <c r="DY11" s="2">
        <v>7</v>
      </c>
      <c r="DZ11" s="2">
        <v>7</v>
      </c>
      <c r="EA11" s="2">
        <v>7</v>
      </c>
      <c r="EB11" s="2">
        <v>6</v>
      </c>
      <c r="EC11" s="2">
        <v>7</v>
      </c>
      <c r="ED11" s="2">
        <v>7</v>
      </c>
      <c r="EE11" s="2">
        <v>7</v>
      </c>
      <c r="EF11" s="2">
        <v>7</v>
      </c>
    </row>
    <row r="12" spans="1:136" ht="15.75" customHeight="1" x14ac:dyDescent="0.15">
      <c r="A12" s="4">
        <v>45648.964403622682</v>
      </c>
      <c r="C12" s="5">
        <v>3</v>
      </c>
      <c r="D12" s="5">
        <v>7</v>
      </c>
      <c r="E12" s="5">
        <v>1</v>
      </c>
      <c r="F12" s="5">
        <v>1</v>
      </c>
      <c r="G12" s="5">
        <v>7</v>
      </c>
      <c r="H12" s="5">
        <v>7</v>
      </c>
      <c r="I12" s="5">
        <v>7</v>
      </c>
      <c r="J12" s="5">
        <v>5</v>
      </c>
      <c r="K12" s="5">
        <v>5</v>
      </c>
      <c r="L12" s="5">
        <v>5</v>
      </c>
      <c r="M12" s="5">
        <v>6</v>
      </c>
      <c r="N12" s="5">
        <v>3</v>
      </c>
      <c r="O12" s="5">
        <v>1</v>
      </c>
      <c r="P12" s="5">
        <v>5</v>
      </c>
      <c r="Q12" s="5">
        <v>5</v>
      </c>
      <c r="R12" s="5">
        <v>2</v>
      </c>
      <c r="S12" s="5"/>
      <c r="T12" s="5">
        <v>5</v>
      </c>
      <c r="U12" s="5">
        <v>5</v>
      </c>
      <c r="V12" s="5">
        <v>7</v>
      </c>
      <c r="W12" s="5">
        <v>7</v>
      </c>
      <c r="X12" s="5">
        <v>1</v>
      </c>
      <c r="Y12" s="5">
        <v>1</v>
      </c>
      <c r="Z12" s="5">
        <v>3</v>
      </c>
      <c r="AA12" s="5">
        <v>7</v>
      </c>
      <c r="AB12" s="5">
        <v>7</v>
      </c>
      <c r="AC12" s="5">
        <v>1</v>
      </c>
      <c r="AD12" s="5">
        <v>4</v>
      </c>
      <c r="AE12" s="5">
        <v>7</v>
      </c>
      <c r="AF12" s="5">
        <v>7</v>
      </c>
      <c r="AG12" s="5">
        <v>7</v>
      </c>
      <c r="AH12" s="5">
        <v>7</v>
      </c>
      <c r="AI12" s="5">
        <v>7</v>
      </c>
      <c r="AJ12" s="5">
        <v>7</v>
      </c>
      <c r="AK12" s="5">
        <v>1</v>
      </c>
      <c r="AL12" s="5">
        <v>7</v>
      </c>
      <c r="AM12" s="5">
        <v>7</v>
      </c>
      <c r="AN12" s="5">
        <v>7</v>
      </c>
      <c r="AO12" s="5">
        <v>7</v>
      </c>
      <c r="AP12" s="5">
        <v>4</v>
      </c>
      <c r="AQ12" s="5">
        <v>3</v>
      </c>
      <c r="AR12" s="5">
        <v>7</v>
      </c>
      <c r="AS12" s="6">
        <v>1</v>
      </c>
      <c r="AT12" s="5">
        <v>7</v>
      </c>
      <c r="AU12" s="5">
        <v>7</v>
      </c>
      <c r="AV12" s="5">
        <v>6</v>
      </c>
      <c r="AW12" s="5">
        <v>7</v>
      </c>
      <c r="AX12" s="5">
        <v>3</v>
      </c>
      <c r="AY12" s="5">
        <v>7</v>
      </c>
      <c r="AZ12" s="5">
        <v>1</v>
      </c>
      <c r="BA12" s="5">
        <v>4</v>
      </c>
      <c r="BB12" s="5">
        <v>5</v>
      </c>
      <c r="BC12" s="5">
        <v>7</v>
      </c>
      <c r="BD12" s="5">
        <v>1</v>
      </c>
      <c r="BE12" s="5">
        <v>6</v>
      </c>
      <c r="BF12" s="5">
        <v>5</v>
      </c>
      <c r="BG12" s="5"/>
      <c r="BH12" s="5">
        <v>7</v>
      </c>
      <c r="BI12" s="5">
        <v>5</v>
      </c>
      <c r="BJ12" s="5">
        <v>1</v>
      </c>
      <c r="BK12" s="5">
        <v>7</v>
      </c>
      <c r="BL12" s="5">
        <v>1</v>
      </c>
      <c r="BM12" s="5">
        <v>7</v>
      </c>
      <c r="BN12" s="5">
        <v>4</v>
      </c>
      <c r="BO12" s="5">
        <v>1</v>
      </c>
      <c r="BP12" s="5">
        <v>1</v>
      </c>
      <c r="BQ12" s="5">
        <v>1</v>
      </c>
      <c r="BR12" s="5">
        <v>4</v>
      </c>
      <c r="BS12" s="5">
        <v>1</v>
      </c>
      <c r="BT12" s="5">
        <v>6</v>
      </c>
      <c r="BU12" s="5">
        <v>7</v>
      </c>
      <c r="BV12" s="5">
        <v>5</v>
      </c>
      <c r="BW12" s="5">
        <v>1</v>
      </c>
      <c r="BX12" s="5">
        <v>6</v>
      </c>
      <c r="BY12" s="5">
        <v>1</v>
      </c>
      <c r="BZ12" s="5">
        <v>5</v>
      </c>
      <c r="CA12" s="5">
        <v>5</v>
      </c>
      <c r="CB12" s="5">
        <v>7</v>
      </c>
      <c r="CC12" s="5">
        <v>5</v>
      </c>
      <c r="CD12" s="5">
        <v>6</v>
      </c>
      <c r="CE12" s="5">
        <v>5</v>
      </c>
      <c r="CF12" s="5">
        <v>5</v>
      </c>
      <c r="CG12" s="5">
        <v>7</v>
      </c>
      <c r="CH12" s="5">
        <v>1</v>
      </c>
      <c r="CI12" s="5"/>
      <c r="CJ12" s="5">
        <v>7</v>
      </c>
      <c r="CK12" s="5">
        <v>2</v>
      </c>
      <c r="CL12" s="5">
        <v>5</v>
      </c>
      <c r="CM12" s="5">
        <v>1</v>
      </c>
      <c r="CN12" s="5">
        <v>5</v>
      </c>
      <c r="CO12" s="5">
        <v>5</v>
      </c>
      <c r="CP12" s="5">
        <v>3</v>
      </c>
      <c r="CQ12" s="5">
        <v>1</v>
      </c>
      <c r="CR12" s="5">
        <v>7</v>
      </c>
      <c r="CS12" s="5">
        <v>1</v>
      </c>
      <c r="CT12" s="5">
        <v>1</v>
      </c>
      <c r="CU12" s="5">
        <v>7</v>
      </c>
      <c r="CV12" s="5">
        <v>1</v>
      </c>
      <c r="CW12" s="5">
        <v>7</v>
      </c>
      <c r="CX12" s="5">
        <v>4</v>
      </c>
      <c r="CY12" s="5">
        <v>7</v>
      </c>
      <c r="CZ12" s="5">
        <v>5</v>
      </c>
      <c r="DA12" s="5">
        <v>1</v>
      </c>
      <c r="DB12" s="5">
        <v>1</v>
      </c>
      <c r="DC12" s="5">
        <v>4</v>
      </c>
      <c r="DD12" s="5"/>
      <c r="DE12" s="5">
        <v>7</v>
      </c>
      <c r="DF12" s="5">
        <v>1</v>
      </c>
      <c r="DG12" s="5">
        <v>6</v>
      </c>
      <c r="DH12" s="5">
        <v>1</v>
      </c>
      <c r="DI12" s="5">
        <v>5</v>
      </c>
      <c r="DJ12" s="5">
        <v>7</v>
      </c>
      <c r="DK12" s="5">
        <v>7</v>
      </c>
      <c r="DL12" s="5">
        <v>5</v>
      </c>
      <c r="DM12" s="5">
        <v>3</v>
      </c>
      <c r="DN12" s="5">
        <v>4</v>
      </c>
      <c r="DO12" s="5">
        <v>6</v>
      </c>
      <c r="DP12" s="5">
        <v>1</v>
      </c>
      <c r="DQ12" s="5">
        <v>7</v>
      </c>
      <c r="DR12" s="5">
        <v>7</v>
      </c>
      <c r="DS12" s="5">
        <v>1</v>
      </c>
      <c r="DT12" s="5">
        <v>7</v>
      </c>
      <c r="DU12" s="5">
        <v>7</v>
      </c>
      <c r="DV12" s="5">
        <v>7</v>
      </c>
      <c r="DW12" s="5">
        <v>5</v>
      </c>
      <c r="DX12" s="5">
        <v>5</v>
      </c>
      <c r="DY12" s="5">
        <v>6</v>
      </c>
      <c r="DZ12" s="5">
        <v>6</v>
      </c>
      <c r="EA12" s="5">
        <v>7</v>
      </c>
      <c r="EB12" s="5">
        <v>7</v>
      </c>
      <c r="EC12" s="5">
        <v>2</v>
      </c>
      <c r="ED12" s="5">
        <v>2</v>
      </c>
      <c r="EE12" s="5">
        <v>4</v>
      </c>
      <c r="EF12" s="5">
        <v>3</v>
      </c>
    </row>
    <row r="13" spans="1:136" ht="15.75" customHeight="1" x14ac:dyDescent="0.15">
      <c r="A13" s="1">
        <v>45649.439473136576</v>
      </c>
      <c r="C13" s="2">
        <v>3</v>
      </c>
      <c r="D13" s="2">
        <v>6</v>
      </c>
      <c r="E13" s="2">
        <v>5</v>
      </c>
      <c r="F13" s="2">
        <v>3</v>
      </c>
      <c r="G13" s="2">
        <v>3</v>
      </c>
      <c r="H13" s="2">
        <v>6</v>
      </c>
      <c r="I13" s="2">
        <v>5</v>
      </c>
      <c r="J13" s="2">
        <v>3</v>
      </c>
      <c r="K13" s="2">
        <v>5</v>
      </c>
      <c r="L13" s="2">
        <v>3</v>
      </c>
      <c r="M13" s="2">
        <v>5</v>
      </c>
      <c r="N13" s="2">
        <v>5</v>
      </c>
      <c r="O13" s="2">
        <v>4</v>
      </c>
      <c r="P13" s="2">
        <v>5</v>
      </c>
      <c r="Q13" s="2">
        <v>5</v>
      </c>
      <c r="R13" s="2">
        <v>3</v>
      </c>
      <c r="S13" s="2"/>
      <c r="T13" s="2">
        <v>5</v>
      </c>
      <c r="U13" s="2">
        <v>5</v>
      </c>
      <c r="V13" s="2">
        <v>5</v>
      </c>
      <c r="W13" s="2">
        <v>5</v>
      </c>
      <c r="X13" s="2">
        <v>3</v>
      </c>
      <c r="Y13" s="2">
        <v>3</v>
      </c>
      <c r="Z13" s="2">
        <v>5</v>
      </c>
      <c r="AA13" s="2">
        <v>5</v>
      </c>
      <c r="AB13" s="2">
        <v>5</v>
      </c>
      <c r="AC13" s="2">
        <v>6</v>
      </c>
      <c r="AD13" s="2">
        <v>6</v>
      </c>
      <c r="AE13" s="2">
        <v>6</v>
      </c>
      <c r="AF13" s="2">
        <v>5</v>
      </c>
      <c r="AG13" s="2">
        <v>5</v>
      </c>
      <c r="AH13" s="2">
        <v>6</v>
      </c>
      <c r="AI13" s="2">
        <v>6</v>
      </c>
      <c r="AJ13" s="2">
        <v>6</v>
      </c>
      <c r="AK13" s="2">
        <v>5</v>
      </c>
      <c r="AL13" s="2">
        <v>5</v>
      </c>
      <c r="AM13" s="2">
        <v>4</v>
      </c>
      <c r="AN13" s="2">
        <v>5</v>
      </c>
      <c r="AO13" s="2">
        <v>3</v>
      </c>
      <c r="AP13" s="2">
        <v>4</v>
      </c>
      <c r="AQ13" s="2">
        <v>5</v>
      </c>
      <c r="AR13" s="2">
        <v>6</v>
      </c>
      <c r="AS13" s="3">
        <v>5</v>
      </c>
      <c r="AT13" s="2">
        <v>6</v>
      </c>
      <c r="AU13" s="2">
        <v>5</v>
      </c>
      <c r="AV13" s="2">
        <v>5</v>
      </c>
      <c r="AW13" s="2">
        <v>5</v>
      </c>
      <c r="AX13" s="2">
        <v>6</v>
      </c>
      <c r="AY13" s="2">
        <v>4</v>
      </c>
      <c r="AZ13" s="2">
        <v>6</v>
      </c>
      <c r="BA13" s="2">
        <v>5</v>
      </c>
      <c r="BB13" s="2">
        <v>3</v>
      </c>
      <c r="BC13" s="2">
        <v>5</v>
      </c>
      <c r="BD13" s="2">
        <v>3</v>
      </c>
      <c r="BE13" s="2">
        <v>5</v>
      </c>
      <c r="BF13" s="2">
        <v>6</v>
      </c>
      <c r="BG13" s="2"/>
      <c r="BH13" s="2">
        <v>6</v>
      </c>
      <c r="BI13" s="2">
        <v>5</v>
      </c>
      <c r="BJ13" s="2">
        <v>4</v>
      </c>
      <c r="BK13" s="2">
        <v>4</v>
      </c>
      <c r="BL13" s="2">
        <v>5</v>
      </c>
      <c r="BM13" s="2">
        <v>4</v>
      </c>
      <c r="BN13" s="2">
        <v>4</v>
      </c>
      <c r="BO13" s="2">
        <v>4</v>
      </c>
      <c r="BP13" s="2">
        <v>5</v>
      </c>
      <c r="BQ13" s="2">
        <v>6</v>
      </c>
      <c r="BR13" s="2">
        <v>6</v>
      </c>
      <c r="BS13" s="2">
        <v>5</v>
      </c>
      <c r="BT13" s="2">
        <v>4</v>
      </c>
      <c r="BU13" s="2">
        <v>6</v>
      </c>
      <c r="BV13" s="2">
        <v>5</v>
      </c>
      <c r="BW13" s="2">
        <v>4</v>
      </c>
      <c r="BX13" s="2">
        <v>3</v>
      </c>
      <c r="BY13" s="2">
        <v>5</v>
      </c>
      <c r="BZ13" s="2">
        <v>5</v>
      </c>
      <c r="CA13" s="2">
        <v>6</v>
      </c>
      <c r="CB13" s="2">
        <v>6</v>
      </c>
      <c r="CC13" s="2">
        <v>6</v>
      </c>
      <c r="CD13" s="2">
        <v>5</v>
      </c>
      <c r="CE13" s="2">
        <v>6</v>
      </c>
      <c r="CF13" s="2">
        <v>5</v>
      </c>
      <c r="CG13" s="2">
        <v>6</v>
      </c>
      <c r="CH13" s="2">
        <v>6</v>
      </c>
      <c r="CI13" s="2"/>
      <c r="CJ13" s="2">
        <v>5</v>
      </c>
      <c r="CK13" s="2">
        <v>5</v>
      </c>
      <c r="CL13" s="2">
        <v>3</v>
      </c>
      <c r="CM13" s="2">
        <v>4</v>
      </c>
      <c r="CN13" s="2">
        <v>5</v>
      </c>
      <c r="CO13" s="2">
        <v>5</v>
      </c>
      <c r="CP13" s="2">
        <v>3</v>
      </c>
      <c r="CQ13" s="2">
        <v>5</v>
      </c>
      <c r="CR13" s="2">
        <v>5</v>
      </c>
      <c r="CS13" s="2">
        <v>5</v>
      </c>
      <c r="CT13" s="2">
        <v>5</v>
      </c>
      <c r="CU13" s="2">
        <v>5</v>
      </c>
      <c r="CV13" s="2">
        <v>5</v>
      </c>
      <c r="CW13" s="2">
        <v>5</v>
      </c>
      <c r="CX13" s="2">
        <v>5</v>
      </c>
      <c r="CY13" s="2">
        <v>4</v>
      </c>
      <c r="CZ13" s="2">
        <v>5</v>
      </c>
      <c r="DA13" s="2">
        <v>5</v>
      </c>
      <c r="DB13" s="2">
        <v>5</v>
      </c>
      <c r="DC13" s="2">
        <v>4</v>
      </c>
      <c r="DD13" s="2"/>
      <c r="DE13" s="2">
        <v>6</v>
      </c>
      <c r="DF13" s="2">
        <v>5</v>
      </c>
      <c r="DG13" s="2">
        <v>5</v>
      </c>
      <c r="DH13" s="2">
        <v>4</v>
      </c>
      <c r="DI13" s="2">
        <v>5</v>
      </c>
      <c r="DJ13" s="2">
        <v>5</v>
      </c>
      <c r="DK13" s="2">
        <v>6</v>
      </c>
      <c r="DL13" s="2">
        <v>6</v>
      </c>
      <c r="DM13" s="2">
        <v>6</v>
      </c>
      <c r="DN13" s="2">
        <v>5</v>
      </c>
      <c r="DO13" s="2">
        <v>3</v>
      </c>
      <c r="DP13" s="2">
        <v>5</v>
      </c>
      <c r="DQ13" s="2">
        <v>5</v>
      </c>
      <c r="DR13" s="2">
        <v>6</v>
      </c>
      <c r="DS13" s="2">
        <v>5</v>
      </c>
      <c r="DT13" s="2">
        <v>5</v>
      </c>
      <c r="DU13" s="2">
        <v>6</v>
      </c>
      <c r="DV13" s="2">
        <v>5</v>
      </c>
      <c r="DW13" s="2">
        <v>5</v>
      </c>
      <c r="DX13" s="2">
        <v>5</v>
      </c>
      <c r="DY13" s="2">
        <v>5</v>
      </c>
      <c r="DZ13" s="2">
        <v>5</v>
      </c>
      <c r="EA13" s="2">
        <v>6</v>
      </c>
      <c r="EB13" s="2">
        <v>3</v>
      </c>
      <c r="EC13" s="2">
        <v>5</v>
      </c>
      <c r="ED13" s="2">
        <v>3</v>
      </c>
      <c r="EE13" s="2">
        <v>3</v>
      </c>
      <c r="EF13" s="2">
        <v>5</v>
      </c>
    </row>
    <row r="14" spans="1:136" ht="15.75" customHeight="1" x14ac:dyDescent="0.15">
      <c r="A14" s="4">
        <v>45649.478908182871</v>
      </c>
      <c r="C14" s="5">
        <v>5</v>
      </c>
      <c r="D14" s="5">
        <v>5</v>
      </c>
      <c r="E14" s="5">
        <v>5</v>
      </c>
      <c r="F14" s="5">
        <v>5</v>
      </c>
      <c r="G14" s="5">
        <v>5</v>
      </c>
      <c r="H14" s="5">
        <v>3</v>
      </c>
      <c r="I14" s="5">
        <v>6</v>
      </c>
      <c r="J14" s="5">
        <v>6</v>
      </c>
      <c r="K14" s="5">
        <v>5</v>
      </c>
      <c r="L14" s="5">
        <v>5</v>
      </c>
      <c r="M14" s="5">
        <v>6</v>
      </c>
      <c r="N14" s="5">
        <v>7</v>
      </c>
      <c r="O14" s="5">
        <v>1</v>
      </c>
      <c r="P14" s="5">
        <v>4</v>
      </c>
      <c r="Q14" s="5">
        <v>7</v>
      </c>
      <c r="R14" s="5">
        <v>4</v>
      </c>
      <c r="S14" s="5"/>
      <c r="T14" s="5">
        <v>6</v>
      </c>
      <c r="U14" s="5">
        <v>6</v>
      </c>
      <c r="V14" s="5">
        <v>6</v>
      </c>
      <c r="W14" s="5">
        <v>7</v>
      </c>
      <c r="X14" s="5">
        <v>7</v>
      </c>
      <c r="Y14" s="5">
        <v>2</v>
      </c>
      <c r="Z14" s="5">
        <v>7</v>
      </c>
      <c r="AA14" s="5">
        <v>6</v>
      </c>
      <c r="AB14" s="5">
        <v>7</v>
      </c>
      <c r="AC14" s="5">
        <v>7</v>
      </c>
      <c r="AD14" s="5">
        <v>3</v>
      </c>
      <c r="AE14" s="5">
        <v>5</v>
      </c>
      <c r="AF14" s="5">
        <v>5</v>
      </c>
      <c r="AG14" s="5">
        <v>6</v>
      </c>
      <c r="AH14" s="5">
        <v>4</v>
      </c>
      <c r="AI14" s="5">
        <v>7</v>
      </c>
      <c r="AJ14" s="5">
        <v>6</v>
      </c>
      <c r="AK14" s="5">
        <v>3</v>
      </c>
      <c r="AL14" s="5">
        <v>5</v>
      </c>
      <c r="AM14" s="5">
        <v>7</v>
      </c>
      <c r="AN14" s="5">
        <v>7</v>
      </c>
      <c r="AO14" s="5">
        <v>7</v>
      </c>
      <c r="AP14" s="5">
        <v>7</v>
      </c>
      <c r="AQ14" s="5">
        <v>7</v>
      </c>
      <c r="AR14" s="5">
        <v>3</v>
      </c>
      <c r="AS14" s="6">
        <v>6</v>
      </c>
      <c r="AT14" s="5">
        <v>7</v>
      </c>
      <c r="AU14" s="5">
        <v>5</v>
      </c>
      <c r="AV14" s="5">
        <v>4</v>
      </c>
      <c r="AW14" s="5">
        <v>6</v>
      </c>
      <c r="AX14" s="5">
        <v>6</v>
      </c>
      <c r="AY14" s="5">
        <v>7</v>
      </c>
      <c r="AZ14" s="5">
        <v>6</v>
      </c>
      <c r="BA14" s="5">
        <v>3</v>
      </c>
      <c r="BB14" s="5">
        <v>6</v>
      </c>
      <c r="BC14" s="5">
        <v>5</v>
      </c>
      <c r="BD14" s="5">
        <v>6</v>
      </c>
      <c r="BE14" s="5">
        <v>7</v>
      </c>
      <c r="BF14" s="5">
        <v>6</v>
      </c>
      <c r="BG14" s="5"/>
      <c r="BH14" s="5">
        <v>3</v>
      </c>
      <c r="BI14" s="5">
        <v>2</v>
      </c>
      <c r="BJ14" s="5">
        <v>3</v>
      </c>
      <c r="BK14" s="5">
        <v>7</v>
      </c>
      <c r="BL14" s="5">
        <v>7</v>
      </c>
      <c r="BM14" s="5">
        <v>6</v>
      </c>
      <c r="BN14" s="5">
        <v>3</v>
      </c>
      <c r="BO14" s="5">
        <v>7</v>
      </c>
      <c r="BP14" s="5">
        <v>7</v>
      </c>
      <c r="BQ14" s="5">
        <v>3</v>
      </c>
      <c r="BR14" s="5">
        <v>5</v>
      </c>
      <c r="BS14" s="5">
        <v>2</v>
      </c>
      <c r="BT14" s="5">
        <v>7</v>
      </c>
      <c r="BU14" s="5">
        <v>7</v>
      </c>
      <c r="BV14" s="5">
        <v>6</v>
      </c>
      <c r="BW14" s="5">
        <v>6</v>
      </c>
      <c r="BX14" s="5">
        <v>5</v>
      </c>
      <c r="BY14" s="5">
        <v>2</v>
      </c>
      <c r="BZ14" s="5">
        <v>2</v>
      </c>
      <c r="CA14" s="5">
        <v>6</v>
      </c>
      <c r="CB14" s="5">
        <v>6</v>
      </c>
      <c r="CC14" s="5">
        <v>6</v>
      </c>
      <c r="CD14" s="5">
        <v>7</v>
      </c>
      <c r="CE14" s="5">
        <v>6</v>
      </c>
      <c r="CF14" s="5">
        <v>6</v>
      </c>
      <c r="CG14" s="5">
        <v>5</v>
      </c>
      <c r="CH14" s="5">
        <v>6</v>
      </c>
      <c r="CI14" s="5"/>
      <c r="CJ14" s="5">
        <v>7</v>
      </c>
      <c r="CK14" s="5">
        <v>6</v>
      </c>
      <c r="CL14" s="5">
        <v>6</v>
      </c>
      <c r="CM14" s="5">
        <v>3</v>
      </c>
      <c r="CN14" s="5">
        <v>2</v>
      </c>
      <c r="CO14" s="5">
        <v>6</v>
      </c>
      <c r="CP14" s="5">
        <v>7</v>
      </c>
      <c r="CQ14" s="5">
        <v>7</v>
      </c>
      <c r="CR14" s="5">
        <v>6</v>
      </c>
      <c r="CS14" s="5">
        <v>4</v>
      </c>
      <c r="CT14" s="5">
        <v>5</v>
      </c>
      <c r="CU14" s="5">
        <v>6</v>
      </c>
      <c r="CV14" s="5">
        <v>7</v>
      </c>
      <c r="CW14" s="5">
        <v>7</v>
      </c>
      <c r="CX14" s="5">
        <v>4</v>
      </c>
      <c r="CY14" s="5">
        <v>6</v>
      </c>
      <c r="CZ14" s="5">
        <v>6</v>
      </c>
      <c r="DA14" s="5">
        <v>4</v>
      </c>
      <c r="DB14" s="5">
        <v>3</v>
      </c>
      <c r="DC14" s="5">
        <v>4</v>
      </c>
      <c r="DD14" s="5"/>
      <c r="DE14" s="5">
        <v>3</v>
      </c>
      <c r="DF14" s="5">
        <v>6</v>
      </c>
      <c r="DG14" s="5">
        <v>6</v>
      </c>
      <c r="DH14" s="5">
        <v>6</v>
      </c>
      <c r="DI14" s="5">
        <v>6</v>
      </c>
      <c r="DJ14" s="5">
        <v>7</v>
      </c>
      <c r="DK14" s="5">
        <v>7</v>
      </c>
      <c r="DL14" s="5">
        <v>5</v>
      </c>
      <c r="DM14" s="5">
        <v>6</v>
      </c>
      <c r="DN14" s="5">
        <v>4</v>
      </c>
      <c r="DO14" s="5">
        <v>6</v>
      </c>
      <c r="DP14" s="5">
        <v>5</v>
      </c>
      <c r="DQ14" s="5">
        <v>7</v>
      </c>
      <c r="DR14" s="5">
        <v>6</v>
      </c>
      <c r="DS14" s="5">
        <v>3</v>
      </c>
      <c r="DT14" s="5">
        <v>3</v>
      </c>
      <c r="DU14" s="5">
        <v>4</v>
      </c>
      <c r="DV14" s="5">
        <v>5</v>
      </c>
      <c r="DW14" s="5">
        <v>5</v>
      </c>
      <c r="DX14" s="5">
        <v>7</v>
      </c>
      <c r="DY14" s="5">
        <v>7</v>
      </c>
      <c r="DZ14" s="5">
        <v>6</v>
      </c>
      <c r="EA14" s="5">
        <v>6</v>
      </c>
      <c r="EB14" s="5">
        <v>5</v>
      </c>
      <c r="EC14" s="5">
        <v>5</v>
      </c>
      <c r="ED14" s="5">
        <v>6</v>
      </c>
      <c r="EE14" s="5">
        <v>4</v>
      </c>
      <c r="EF14" s="5">
        <v>6</v>
      </c>
    </row>
    <row r="15" spans="1:136" ht="15.75" customHeight="1" x14ac:dyDescent="0.15">
      <c r="A15" s="1">
        <v>45649.530567476853</v>
      </c>
      <c r="C15" s="2">
        <v>4</v>
      </c>
      <c r="D15" s="2">
        <v>4</v>
      </c>
      <c r="E15" s="2">
        <v>5</v>
      </c>
      <c r="F15" s="2">
        <v>7</v>
      </c>
      <c r="G15" s="2">
        <v>7</v>
      </c>
      <c r="H15" s="2">
        <v>3</v>
      </c>
      <c r="I15" s="2">
        <v>4</v>
      </c>
      <c r="J15" s="2">
        <v>6</v>
      </c>
      <c r="K15" s="2">
        <v>6</v>
      </c>
      <c r="L15" s="2">
        <v>5</v>
      </c>
      <c r="M15" s="2">
        <v>5</v>
      </c>
      <c r="N15" s="2">
        <v>5</v>
      </c>
      <c r="O15" s="2">
        <v>7</v>
      </c>
      <c r="P15" s="2">
        <v>7</v>
      </c>
      <c r="Q15" s="2">
        <v>2</v>
      </c>
      <c r="R15" s="2">
        <v>3</v>
      </c>
      <c r="S15" s="2"/>
      <c r="T15" s="2">
        <v>7</v>
      </c>
      <c r="U15" s="2">
        <v>5</v>
      </c>
      <c r="V15" s="2">
        <v>5</v>
      </c>
      <c r="W15" s="2">
        <v>5</v>
      </c>
      <c r="X15" s="2">
        <v>5</v>
      </c>
      <c r="Y15" s="2">
        <v>4</v>
      </c>
      <c r="Z15" s="2">
        <v>5</v>
      </c>
      <c r="AA15" s="2">
        <v>5</v>
      </c>
      <c r="AB15" s="2">
        <v>4</v>
      </c>
      <c r="AC15" s="2">
        <v>6</v>
      </c>
      <c r="AD15" s="2">
        <v>5</v>
      </c>
      <c r="AE15" s="2">
        <v>5</v>
      </c>
      <c r="AF15" s="2">
        <v>6</v>
      </c>
      <c r="AG15" s="2">
        <v>5</v>
      </c>
      <c r="AH15" s="2">
        <v>5</v>
      </c>
      <c r="AI15" s="2">
        <v>6</v>
      </c>
      <c r="AJ15" s="2">
        <v>6</v>
      </c>
      <c r="AK15" s="2">
        <v>5</v>
      </c>
      <c r="AL15" s="2">
        <v>5</v>
      </c>
      <c r="AM15" s="2">
        <v>6</v>
      </c>
      <c r="AN15" s="2">
        <v>6</v>
      </c>
      <c r="AO15" s="2">
        <v>5</v>
      </c>
      <c r="AP15" s="2">
        <v>5</v>
      </c>
      <c r="AQ15" s="2">
        <v>5</v>
      </c>
      <c r="AR15" s="2">
        <v>5</v>
      </c>
      <c r="AS15" s="3">
        <v>5</v>
      </c>
      <c r="AT15" s="2">
        <v>5</v>
      </c>
      <c r="AU15" s="2">
        <v>4</v>
      </c>
      <c r="AV15" s="2">
        <v>5</v>
      </c>
      <c r="AW15" s="2">
        <v>6</v>
      </c>
      <c r="AX15" s="2">
        <v>5</v>
      </c>
      <c r="AY15" s="2">
        <v>5</v>
      </c>
      <c r="AZ15" s="2">
        <v>6</v>
      </c>
      <c r="BA15" s="2">
        <v>4</v>
      </c>
      <c r="BB15" s="2">
        <v>5</v>
      </c>
      <c r="BC15" s="2">
        <v>3</v>
      </c>
      <c r="BD15" s="2">
        <v>6</v>
      </c>
      <c r="BE15" s="2">
        <v>5</v>
      </c>
      <c r="BF15" s="2">
        <v>6</v>
      </c>
      <c r="BG15" s="2"/>
      <c r="BH15" s="2">
        <v>4</v>
      </c>
      <c r="BI15" s="2">
        <v>4</v>
      </c>
      <c r="BJ15" s="2">
        <v>6</v>
      </c>
      <c r="BK15" s="2">
        <v>6</v>
      </c>
      <c r="BL15" s="2">
        <v>6</v>
      </c>
      <c r="BM15" s="2">
        <v>6</v>
      </c>
      <c r="BN15" s="2">
        <v>5</v>
      </c>
      <c r="BO15" s="2">
        <v>4</v>
      </c>
      <c r="BP15" s="2">
        <v>4</v>
      </c>
      <c r="BQ15" s="2">
        <v>5</v>
      </c>
      <c r="BR15" s="2">
        <v>5</v>
      </c>
      <c r="BS15" s="2">
        <v>5</v>
      </c>
      <c r="BT15" s="2">
        <v>5</v>
      </c>
      <c r="BU15" s="2">
        <v>6</v>
      </c>
      <c r="BV15" s="2">
        <v>6</v>
      </c>
      <c r="BW15" s="2">
        <v>5</v>
      </c>
      <c r="BX15" s="2">
        <v>6</v>
      </c>
      <c r="BY15" s="2">
        <v>5</v>
      </c>
      <c r="BZ15" s="2">
        <v>5</v>
      </c>
      <c r="CA15" s="2">
        <v>6</v>
      </c>
      <c r="CB15" s="2">
        <v>6</v>
      </c>
      <c r="CC15" s="2">
        <v>6</v>
      </c>
      <c r="CD15" s="2">
        <v>5</v>
      </c>
      <c r="CE15" s="2">
        <v>6</v>
      </c>
      <c r="CF15" s="2">
        <v>6</v>
      </c>
      <c r="CG15" s="2">
        <v>6</v>
      </c>
      <c r="CH15" s="2">
        <v>6</v>
      </c>
      <c r="CI15" s="2"/>
      <c r="CJ15" s="2">
        <v>6</v>
      </c>
      <c r="CK15" s="2">
        <v>6</v>
      </c>
      <c r="CL15" s="2">
        <v>5</v>
      </c>
      <c r="CM15" s="2">
        <v>3</v>
      </c>
      <c r="CN15" s="2">
        <v>5</v>
      </c>
      <c r="CO15" s="2">
        <v>5</v>
      </c>
      <c r="CP15" s="2">
        <v>5</v>
      </c>
      <c r="CQ15" s="2">
        <v>6</v>
      </c>
      <c r="CR15" s="2">
        <v>6</v>
      </c>
      <c r="CS15" s="2">
        <v>5</v>
      </c>
      <c r="CT15" s="2">
        <v>5</v>
      </c>
      <c r="CU15" s="2">
        <v>6</v>
      </c>
      <c r="CV15" s="2">
        <v>5</v>
      </c>
      <c r="CW15" s="2">
        <v>5</v>
      </c>
      <c r="CX15" s="2">
        <v>5</v>
      </c>
      <c r="CY15" s="2">
        <v>5</v>
      </c>
      <c r="CZ15" s="2">
        <v>6</v>
      </c>
      <c r="DA15" s="2">
        <v>6</v>
      </c>
      <c r="DB15" s="2">
        <v>6</v>
      </c>
      <c r="DC15" s="2">
        <v>5</v>
      </c>
      <c r="DD15" s="2"/>
      <c r="DE15" s="2">
        <v>6</v>
      </c>
      <c r="DF15" s="2">
        <v>5</v>
      </c>
      <c r="DG15" s="2">
        <v>5</v>
      </c>
      <c r="DH15" s="2">
        <v>6</v>
      </c>
      <c r="DI15" s="2">
        <v>5</v>
      </c>
      <c r="DJ15" s="2">
        <v>6</v>
      </c>
      <c r="DK15" s="2">
        <v>6</v>
      </c>
      <c r="DL15" s="2">
        <v>6</v>
      </c>
      <c r="DM15" s="2">
        <v>6</v>
      </c>
      <c r="DN15" s="2">
        <v>5</v>
      </c>
      <c r="DO15" s="2">
        <v>4</v>
      </c>
      <c r="DP15" s="2">
        <v>5</v>
      </c>
      <c r="DQ15" s="2">
        <v>5</v>
      </c>
      <c r="DR15" s="2">
        <v>5</v>
      </c>
      <c r="DS15" s="2">
        <v>5</v>
      </c>
      <c r="DT15" s="2">
        <v>6</v>
      </c>
      <c r="DU15" s="2">
        <v>6</v>
      </c>
      <c r="DV15" s="2">
        <v>6</v>
      </c>
      <c r="DW15" s="2">
        <v>6</v>
      </c>
      <c r="DX15" s="2">
        <v>6</v>
      </c>
      <c r="DY15" s="2">
        <v>6</v>
      </c>
      <c r="DZ15" s="2">
        <v>5</v>
      </c>
      <c r="EA15" s="2">
        <v>5</v>
      </c>
      <c r="EB15" s="2">
        <v>3</v>
      </c>
      <c r="EC15" s="2">
        <v>5</v>
      </c>
      <c r="ED15" s="2">
        <v>4</v>
      </c>
      <c r="EE15" s="2">
        <v>5</v>
      </c>
      <c r="EF15" s="2">
        <v>5</v>
      </c>
    </row>
    <row r="16" spans="1:136" ht="15.75" customHeight="1" x14ac:dyDescent="0.15">
      <c r="A16" s="7" t="s">
        <v>110</v>
      </c>
      <c r="B16" s="8"/>
      <c r="C16" s="8">
        <f t="shared" ref="C16:R16" si="0">SUM(C2:C15)</f>
        <v>67</v>
      </c>
      <c r="D16" s="8">
        <f t="shared" si="0"/>
        <v>71</v>
      </c>
      <c r="E16" s="8">
        <f t="shared" si="0"/>
        <v>65</v>
      </c>
      <c r="F16" s="8">
        <f t="shared" si="0"/>
        <v>71</v>
      </c>
      <c r="G16" s="8">
        <f t="shared" si="0"/>
        <v>81</v>
      </c>
      <c r="H16" s="8">
        <f t="shared" si="0"/>
        <v>65</v>
      </c>
      <c r="I16" s="8">
        <f t="shared" si="0"/>
        <v>79</v>
      </c>
      <c r="J16" s="8">
        <f t="shared" si="0"/>
        <v>75</v>
      </c>
      <c r="K16" s="8">
        <f t="shared" si="0"/>
        <v>86</v>
      </c>
      <c r="L16" s="8">
        <f t="shared" si="0"/>
        <v>72</v>
      </c>
      <c r="M16" s="8">
        <f t="shared" si="0"/>
        <v>74</v>
      </c>
      <c r="N16" s="8">
        <f t="shared" si="0"/>
        <v>75</v>
      </c>
      <c r="O16" s="8">
        <f t="shared" si="0"/>
        <v>64</v>
      </c>
      <c r="P16" s="8">
        <f t="shared" si="0"/>
        <v>78</v>
      </c>
      <c r="Q16" s="8">
        <f t="shared" si="0"/>
        <v>79</v>
      </c>
      <c r="R16" s="8">
        <f t="shared" si="0"/>
        <v>63</v>
      </c>
      <c r="S16" s="8"/>
      <c r="T16" s="8">
        <f t="shared" ref="T16:BF16" si="1">SUM(T2:T15)</f>
        <v>77</v>
      </c>
      <c r="U16" s="8">
        <f t="shared" si="1"/>
        <v>80</v>
      </c>
      <c r="V16" s="8">
        <f t="shared" si="1"/>
        <v>77</v>
      </c>
      <c r="W16" s="8">
        <f t="shared" si="1"/>
        <v>84</v>
      </c>
      <c r="X16" s="8">
        <f t="shared" si="1"/>
        <v>77</v>
      </c>
      <c r="Y16" s="8">
        <f t="shared" si="1"/>
        <v>59</v>
      </c>
      <c r="Z16" s="8">
        <f t="shared" si="1"/>
        <v>80</v>
      </c>
      <c r="AA16" s="8">
        <f t="shared" si="1"/>
        <v>83</v>
      </c>
      <c r="AB16" s="8">
        <f t="shared" si="1"/>
        <v>76</v>
      </c>
      <c r="AC16" s="8">
        <f t="shared" si="1"/>
        <v>74</v>
      </c>
      <c r="AD16" s="8">
        <f t="shared" si="1"/>
        <v>64</v>
      </c>
      <c r="AE16" s="8">
        <f t="shared" si="1"/>
        <v>80</v>
      </c>
      <c r="AF16" s="8">
        <f t="shared" si="1"/>
        <v>81</v>
      </c>
      <c r="AG16" s="8">
        <f t="shared" si="1"/>
        <v>87</v>
      </c>
      <c r="AH16" s="8">
        <f t="shared" si="1"/>
        <v>78</v>
      </c>
      <c r="AI16" s="8">
        <f t="shared" si="1"/>
        <v>91</v>
      </c>
      <c r="AJ16" s="8">
        <f t="shared" si="1"/>
        <v>81</v>
      </c>
      <c r="AK16" s="8">
        <f t="shared" si="1"/>
        <v>55</v>
      </c>
      <c r="AL16" s="8">
        <f t="shared" si="1"/>
        <v>75</v>
      </c>
      <c r="AM16" s="8">
        <f t="shared" si="1"/>
        <v>89</v>
      </c>
      <c r="AN16" s="8">
        <f t="shared" ref="AN16:AS16" si="2">SUM(AN2:AN15)</f>
        <v>85</v>
      </c>
      <c r="AO16" s="8">
        <f t="shared" si="2"/>
        <v>82</v>
      </c>
      <c r="AP16" s="8">
        <f t="shared" si="2"/>
        <v>74</v>
      </c>
      <c r="AQ16" s="8">
        <f t="shared" si="2"/>
        <v>69</v>
      </c>
      <c r="AR16" s="8">
        <f t="shared" si="2"/>
        <v>81</v>
      </c>
      <c r="AS16" s="9">
        <f t="shared" si="2"/>
        <v>65</v>
      </c>
      <c r="AT16" s="8">
        <f t="shared" si="1"/>
        <v>82</v>
      </c>
      <c r="AU16" s="8">
        <f t="shared" si="1"/>
        <v>79</v>
      </c>
      <c r="AV16" s="8">
        <f t="shared" si="1"/>
        <v>80</v>
      </c>
      <c r="AW16" s="8">
        <f t="shared" si="1"/>
        <v>86</v>
      </c>
      <c r="AX16" s="8">
        <f t="shared" si="1"/>
        <v>77</v>
      </c>
      <c r="AY16" s="8">
        <f t="shared" si="1"/>
        <v>84</v>
      </c>
      <c r="AZ16" s="8">
        <f t="shared" si="1"/>
        <v>73</v>
      </c>
      <c r="BA16" s="8">
        <f t="shared" si="1"/>
        <v>62</v>
      </c>
      <c r="BB16" s="8">
        <f t="shared" si="1"/>
        <v>76</v>
      </c>
      <c r="BC16" s="8">
        <f t="shared" si="1"/>
        <v>66</v>
      </c>
      <c r="BD16" s="8">
        <f t="shared" si="1"/>
        <v>64</v>
      </c>
      <c r="BE16" s="8">
        <f t="shared" si="1"/>
        <v>83</v>
      </c>
      <c r="BF16" s="8">
        <f t="shared" si="1"/>
        <v>76</v>
      </c>
      <c r="BG16" s="8"/>
      <c r="BH16" s="8">
        <f>SUM(BH2:BH15)</f>
        <v>78</v>
      </c>
      <c r="BI16" s="8">
        <f t="shared" ref="BI16:CM16" si="3">SUM(BI2:BI15)</f>
        <v>75</v>
      </c>
      <c r="BJ16" s="8">
        <f t="shared" si="3"/>
        <v>61</v>
      </c>
      <c r="BK16" s="8">
        <f t="shared" si="3"/>
        <v>87</v>
      </c>
      <c r="BL16" s="8">
        <f t="shared" si="3"/>
        <v>79</v>
      </c>
      <c r="BM16" s="8">
        <f t="shared" si="3"/>
        <v>77</v>
      </c>
      <c r="BN16" s="8">
        <f t="shared" si="3"/>
        <v>63</v>
      </c>
      <c r="BO16" s="8">
        <f t="shared" si="3"/>
        <v>66</v>
      </c>
      <c r="BP16" s="8">
        <f t="shared" si="3"/>
        <v>76</v>
      </c>
      <c r="BQ16" s="8">
        <f t="shared" si="3"/>
        <v>69</v>
      </c>
      <c r="BR16" s="8">
        <f t="shared" si="3"/>
        <v>81</v>
      </c>
      <c r="BS16" s="8">
        <f t="shared" si="3"/>
        <v>61</v>
      </c>
      <c r="BT16" s="8">
        <f t="shared" si="3"/>
        <v>84</v>
      </c>
      <c r="BU16" s="8">
        <f t="shared" si="3"/>
        <v>92</v>
      </c>
      <c r="BV16" s="8">
        <f t="shared" si="3"/>
        <v>85</v>
      </c>
      <c r="BW16" s="8">
        <f t="shared" si="3"/>
        <v>76</v>
      </c>
      <c r="BX16" s="8">
        <f t="shared" si="3"/>
        <v>78</v>
      </c>
      <c r="BY16" s="8">
        <f t="shared" si="3"/>
        <v>60</v>
      </c>
      <c r="BZ16" s="8">
        <f t="shared" si="3"/>
        <v>80</v>
      </c>
      <c r="CA16" s="8">
        <f t="shared" si="3"/>
        <v>90</v>
      </c>
      <c r="CB16" s="8">
        <f t="shared" si="3"/>
        <v>85</v>
      </c>
      <c r="CC16" s="8">
        <f t="shared" si="3"/>
        <v>81</v>
      </c>
      <c r="CD16" s="8">
        <f t="shared" si="3"/>
        <v>83</v>
      </c>
      <c r="CE16" s="8">
        <f t="shared" si="3"/>
        <v>85</v>
      </c>
      <c r="CF16" s="8">
        <f t="shared" si="3"/>
        <v>86</v>
      </c>
      <c r="CG16" s="8">
        <f t="shared" si="3"/>
        <v>90</v>
      </c>
      <c r="CH16" s="8">
        <f t="shared" si="3"/>
        <v>80</v>
      </c>
      <c r="CI16" s="8"/>
      <c r="CJ16" s="8">
        <f t="shared" si="3"/>
        <v>84</v>
      </c>
      <c r="CK16" s="8">
        <f t="shared" si="3"/>
        <v>74</v>
      </c>
      <c r="CL16" s="8">
        <f t="shared" si="3"/>
        <v>68</v>
      </c>
      <c r="CM16" s="8">
        <f t="shared" si="3"/>
        <v>48</v>
      </c>
      <c r="CN16" s="8">
        <f t="shared" ref="CN16:DT16" si="4">SUM(CN2:CN15)</f>
        <v>65</v>
      </c>
      <c r="CO16" s="8">
        <f t="shared" si="4"/>
        <v>83</v>
      </c>
      <c r="CP16" s="8">
        <f t="shared" si="4"/>
        <v>79</v>
      </c>
      <c r="CQ16" s="8">
        <f t="shared" si="4"/>
        <v>82</v>
      </c>
      <c r="CR16" s="8">
        <f t="shared" si="4"/>
        <v>81</v>
      </c>
      <c r="CS16" s="8">
        <f t="shared" si="4"/>
        <v>64</v>
      </c>
      <c r="CT16" s="8">
        <f t="shared" si="4"/>
        <v>73</v>
      </c>
      <c r="CU16" s="8">
        <f t="shared" si="4"/>
        <v>75</v>
      </c>
      <c r="CV16" s="8">
        <f t="shared" si="4"/>
        <v>77</v>
      </c>
      <c r="CW16" s="8">
        <f t="shared" si="4"/>
        <v>82</v>
      </c>
      <c r="CX16" s="8">
        <f t="shared" si="4"/>
        <v>58</v>
      </c>
      <c r="CY16" s="8">
        <f t="shared" si="4"/>
        <v>69</v>
      </c>
      <c r="CZ16" s="8">
        <f t="shared" si="4"/>
        <v>72</v>
      </c>
      <c r="DA16" s="8">
        <f t="shared" si="4"/>
        <v>63</v>
      </c>
      <c r="DB16" s="8">
        <f t="shared" si="4"/>
        <v>67</v>
      </c>
      <c r="DC16" s="8">
        <f t="shared" si="4"/>
        <v>70</v>
      </c>
      <c r="DD16" s="8"/>
      <c r="DE16" s="8">
        <f t="shared" si="4"/>
        <v>88</v>
      </c>
      <c r="DF16" s="8">
        <f t="shared" si="4"/>
        <v>72</v>
      </c>
      <c r="DG16" s="8">
        <f t="shared" si="4"/>
        <v>85</v>
      </c>
      <c r="DH16" s="8">
        <f t="shared" si="4"/>
        <v>69</v>
      </c>
      <c r="DI16" s="8">
        <f t="shared" si="4"/>
        <v>83</v>
      </c>
      <c r="DJ16" s="8">
        <f t="shared" si="4"/>
        <v>91</v>
      </c>
      <c r="DK16" s="8">
        <f t="shared" si="4"/>
        <v>90</v>
      </c>
      <c r="DL16" s="8">
        <f t="shared" si="4"/>
        <v>85</v>
      </c>
      <c r="DM16" s="8">
        <f t="shared" si="4"/>
        <v>88</v>
      </c>
      <c r="DN16" s="8">
        <f t="shared" si="4"/>
        <v>79</v>
      </c>
      <c r="DO16" s="8">
        <f t="shared" si="4"/>
        <v>80</v>
      </c>
      <c r="DP16" s="8">
        <f t="shared" si="4"/>
        <v>79</v>
      </c>
      <c r="DQ16" s="8">
        <f t="shared" si="4"/>
        <v>90</v>
      </c>
      <c r="DR16" s="8">
        <f t="shared" si="4"/>
        <v>90</v>
      </c>
      <c r="DS16" s="8">
        <f t="shared" si="4"/>
        <v>75</v>
      </c>
      <c r="DT16" s="8">
        <f t="shared" si="4"/>
        <v>76</v>
      </c>
      <c r="DU16" s="8">
        <f t="shared" ref="DU16:EF16" si="5">SUM(DU2:DU15)</f>
        <v>88</v>
      </c>
      <c r="DV16" s="8">
        <f t="shared" si="5"/>
        <v>79</v>
      </c>
      <c r="DW16" s="8">
        <f t="shared" si="5"/>
        <v>77</v>
      </c>
      <c r="DX16" s="8">
        <f t="shared" si="5"/>
        <v>81</v>
      </c>
      <c r="DY16" s="8">
        <f t="shared" si="5"/>
        <v>87</v>
      </c>
      <c r="DZ16" s="8">
        <f t="shared" si="5"/>
        <v>87</v>
      </c>
      <c r="EA16" s="8">
        <f t="shared" si="5"/>
        <v>91</v>
      </c>
      <c r="EB16" s="8">
        <f t="shared" si="5"/>
        <v>65</v>
      </c>
      <c r="EC16" s="8">
        <f t="shared" si="5"/>
        <v>67</v>
      </c>
      <c r="ED16" s="8">
        <f t="shared" si="5"/>
        <v>60</v>
      </c>
      <c r="EE16" s="8">
        <f t="shared" si="5"/>
        <v>69</v>
      </c>
      <c r="EF16" s="8">
        <f t="shared" si="5"/>
        <v>78</v>
      </c>
    </row>
  </sheetData>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40F28-C716-4400-8652-F71C94BA6191}">
  <dimension ref="A1:Q17"/>
  <sheetViews>
    <sheetView workbookViewId="0">
      <selection activeCell="A13" sqref="A13"/>
    </sheetView>
  </sheetViews>
  <sheetFormatPr defaultColWidth="8.8984375" defaultRowHeight="12.75" x14ac:dyDescent="0.15"/>
  <cols>
    <col min="1" max="1" width="50.83984375" customWidth="1"/>
    <col min="2" max="2" width="9.4375" hidden="1" customWidth="1"/>
    <col min="3" max="15" width="8.8984375" hidden="1" customWidth="1"/>
    <col min="16" max="16" width="22.25" bestFit="1" customWidth="1"/>
    <col min="17" max="17" width="19.1484375" bestFit="1" customWidth="1"/>
  </cols>
  <sheetData>
    <row r="1" spans="1:17" ht="138.75" x14ac:dyDescent="0.15">
      <c r="A1" s="79" t="s">
        <v>277</v>
      </c>
      <c r="P1" s="50" t="s">
        <v>224</v>
      </c>
      <c r="Q1" s="50" t="s">
        <v>225</v>
      </c>
    </row>
    <row r="2" spans="1:17" s="47" customFormat="1" ht="24" x14ac:dyDescent="0.15">
      <c r="A2" s="82" t="s">
        <v>11</v>
      </c>
      <c r="B2" s="27">
        <v>7</v>
      </c>
      <c r="C2" s="28">
        <v>6</v>
      </c>
      <c r="D2" s="27">
        <v>7</v>
      </c>
      <c r="E2" s="28">
        <v>7</v>
      </c>
      <c r="F2" s="27">
        <v>6</v>
      </c>
      <c r="G2" s="28">
        <v>6</v>
      </c>
      <c r="H2" s="27">
        <v>7</v>
      </c>
      <c r="I2" s="28">
        <v>7</v>
      </c>
      <c r="J2" s="27">
        <v>7</v>
      </c>
      <c r="K2" s="28">
        <v>5</v>
      </c>
      <c r="L2" s="27">
        <v>5</v>
      </c>
      <c r="M2" s="28">
        <v>5</v>
      </c>
      <c r="N2" s="27">
        <v>5</v>
      </c>
      <c r="O2" s="42">
        <v>6</v>
      </c>
      <c r="P2" s="45">
        <f t="shared" ref="P2:P17" si="0">SUM(B2:O2)</f>
        <v>86</v>
      </c>
      <c r="Q2" s="46" t="s">
        <v>222</v>
      </c>
    </row>
    <row r="3" spans="1:17" s="47" customFormat="1" x14ac:dyDescent="0.15">
      <c r="A3" s="83" t="s">
        <v>7</v>
      </c>
      <c r="B3" s="27">
        <v>6</v>
      </c>
      <c r="C3" s="28">
        <v>4</v>
      </c>
      <c r="D3" s="27">
        <v>7</v>
      </c>
      <c r="E3" s="28">
        <v>7</v>
      </c>
      <c r="F3" s="27">
        <v>5</v>
      </c>
      <c r="G3" s="28">
        <v>6</v>
      </c>
      <c r="H3" s="27">
        <v>5</v>
      </c>
      <c r="I3" s="28">
        <v>5</v>
      </c>
      <c r="J3" s="27">
        <v>7</v>
      </c>
      <c r="K3" s="28">
        <v>7</v>
      </c>
      <c r="L3" s="27">
        <v>7</v>
      </c>
      <c r="M3" s="28">
        <v>3</v>
      </c>
      <c r="N3" s="27">
        <v>5</v>
      </c>
      <c r="O3" s="42">
        <v>7</v>
      </c>
      <c r="P3" s="45">
        <f t="shared" si="0"/>
        <v>81</v>
      </c>
      <c r="Q3" s="46" t="s">
        <v>222</v>
      </c>
    </row>
    <row r="4" spans="1:17" s="47" customFormat="1" ht="24" x14ac:dyDescent="0.15">
      <c r="A4" s="83" t="s">
        <v>9</v>
      </c>
      <c r="B4" s="27">
        <v>6</v>
      </c>
      <c r="C4" s="28">
        <v>3</v>
      </c>
      <c r="D4" s="27">
        <v>5</v>
      </c>
      <c r="E4" s="28">
        <v>7</v>
      </c>
      <c r="F4" s="27">
        <v>5</v>
      </c>
      <c r="G4" s="28">
        <v>4</v>
      </c>
      <c r="H4" s="27">
        <v>7</v>
      </c>
      <c r="I4" s="28">
        <v>7</v>
      </c>
      <c r="J4" s="27">
        <v>7</v>
      </c>
      <c r="K4" s="28">
        <v>6</v>
      </c>
      <c r="L4" s="27">
        <v>7</v>
      </c>
      <c r="M4" s="28">
        <v>5</v>
      </c>
      <c r="N4" s="27">
        <v>6</v>
      </c>
      <c r="O4" s="42">
        <v>4</v>
      </c>
      <c r="P4" s="45">
        <f t="shared" si="0"/>
        <v>79</v>
      </c>
      <c r="Q4" s="46" t="s">
        <v>222</v>
      </c>
    </row>
    <row r="5" spans="1:17" s="47" customFormat="1" ht="46.5" x14ac:dyDescent="0.15">
      <c r="A5" s="82" t="s">
        <v>17</v>
      </c>
      <c r="B5" s="27">
        <v>6</v>
      </c>
      <c r="C5" s="28">
        <v>6</v>
      </c>
      <c r="D5" s="27">
        <v>5</v>
      </c>
      <c r="E5" s="28">
        <v>7</v>
      </c>
      <c r="F5" s="27">
        <v>5</v>
      </c>
      <c r="G5" s="28">
        <v>4</v>
      </c>
      <c r="H5" s="27">
        <v>7</v>
      </c>
      <c r="I5" s="28">
        <v>7</v>
      </c>
      <c r="J5" s="27">
        <v>7</v>
      </c>
      <c r="K5" s="28">
        <v>6</v>
      </c>
      <c r="L5" s="27">
        <v>5</v>
      </c>
      <c r="M5" s="28">
        <v>5</v>
      </c>
      <c r="N5" s="27">
        <v>7</v>
      </c>
      <c r="O5" s="42">
        <v>2</v>
      </c>
      <c r="P5" s="45">
        <f t="shared" si="0"/>
        <v>79</v>
      </c>
      <c r="Q5" s="46" t="s">
        <v>222</v>
      </c>
    </row>
    <row r="6" spans="1:17" s="47" customFormat="1" ht="35.25" x14ac:dyDescent="0.15">
      <c r="A6" s="12" t="s">
        <v>16</v>
      </c>
      <c r="B6" s="27">
        <v>5</v>
      </c>
      <c r="C6" s="28">
        <v>5</v>
      </c>
      <c r="D6" s="27">
        <v>7</v>
      </c>
      <c r="E6" s="28">
        <v>7</v>
      </c>
      <c r="F6" s="27">
        <v>3</v>
      </c>
      <c r="G6" s="28">
        <v>5</v>
      </c>
      <c r="H6" s="27">
        <v>7</v>
      </c>
      <c r="I6" s="28">
        <v>4</v>
      </c>
      <c r="J6" s="27">
        <v>7</v>
      </c>
      <c r="K6" s="28">
        <v>7</v>
      </c>
      <c r="L6" s="27">
        <v>5</v>
      </c>
      <c r="M6" s="28">
        <v>5</v>
      </c>
      <c r="N6" s="27">
        <v>4</v>
      </c>
      <c r="O6" s="42">
        <v>7</v>
      </c>
      <c r="P6" s="45">
        <f t="shared" si="0"/>
        <v>78</v>
      </c>
      <c r="Q6" s="46" t="s">
        <v>222</v>
      </c>
    </row>
    <row r="7" spans="1:17" s="47" customFormat="1" ht="24" x14ac:dyDescent="0.15">
      <c r="A7" s="82" t="s">
        <v>10</v>
      </c>
      <c r="B7" s="27">
        <v>5</v>
      </c>
      <c r="C7" s="28">
        <v>6</v>
      </c>
      <c r="D7" s="27">
        <v>6</v>
      </c>
      <c r="E7" s="28">
        <v>7</v>
      </c>
      <c r="F7" s="27">
        <v>5</v>
      </c>
      <c r="G7" s="28">
        <v>5</v>
      </c>
      <c r="H7" s="27">
        <v>7</v>
      </c>
      <c r="I7" s="28">
        <v>7</v>
      </c>
      <c r="J7" s="27">
        <v>1</v>
      </c>
      <c r="K7" s="28">
        <v>6</v>
      </c>
      <c r="L7" s="27">
        <v>5</v>
      </c>
      <c r="M7" s="28">
        <v>3</v>
      </c>
      <c r="N7" s="27">
        <v>6</v>
      </c>
      <c r="O7" s="42">
        <v>6</v>
      </c>
      <c r="P7" s="45">
        <f t="shared" si="0"/>
        <v>75</v>
      </c>
      <c r="Q7" s="46" t="s">
        <v>222</v>
      </c>
    </row>
    <row r="8" spans="1:17" s="47" customFormat="1" ht="35.25" x14ac:dyDescent="0.15">
      <c r="A8" s="12" t="s">
        <v>14</v>
      </c>
      <c r="B8" s="27">
        <v>7</v>
      </c>
      <c r="C8" s="28">
        <v>4</v>
      </c>
      <c r="D8" s="27">
        <v>4</v>
      </c>
      <c r="E8" s="28">
        <v>3</v>
      </c>
      <c r="F8" s="27">
        <v>5</v>
      </c>
      <c r="G8" s="28">
        <v>5</v>
      </c>
      <c r="H8" s="27">
        <v>7</v>
      </c>
      <c r="I8" s="28">
        <v>7</v>
      </c>
      <c r="J8" s="27">
        <v>7</v>
      </c>
      <c r="K8" s="28">
        <v>6</v>
      </c>
      <c r="L8" s="27">
        <v>3</v>
      </c>
      <c r="M8" s="28">
        <v>5</v>
      </c>
      <c r="N8" s="27">
        <v>7</v>
      </c>
      <c r="O8" s="42">
        <v>5</v>
      </c>
      <c r="P8" s="45">
        <f t="shared" si="0"/>
        <v>75</v>
      </c>
      <c r="Q8" s="46" t="s">
        <v>222</v>
      </c>
    </row>
    <row r="9" spans="1:17" s="47" customFormat="1" ht="24" x14ac:dyDescent="0.15">
      <c r="A9" s="82" t="s">
        <v>13</v>
      </c>
      <c r="B9" s="27">
        <v>7</v>
      </c>
      <c r="C9" s="28">
        <v>4</v>
      </c>
      <c r="D9" s="27">
        <v>7</v>
      </c>
      <c r="E9" s="28">
        <v>7</v>
      </c>
      <c r="F9" s="27">
        <v>2</v>
      </c>
      <c r="G9" s="28">
        <v>4</v>
      </c>
      <c r="H9" s="27">
        <v>4</v>
      </c>
      <c r="I9" s="28">
        <v>4</v>
      </c>
      <c r="J9" s="27">
        <v>7</v>
      </c>
      <c r="K9" s="28">
        <v>6</v>
      </c>
      <c r="L9" s="27">
        <v>6</v>
      </c>
      <c r="M9" s="28">
        <v>5</v>
      </c>
      <c r="N9" s="27">
        <v>6</v>
      </c>
      <c r="O9" s="42">
        <v>5</v>
      </c>
      <c r="P9" s="45">
        <f t="shared" si="0"/>
        <v>74</v>
      </c>
      <c r="Q9" s="46" t="s">
        <v>222</v>
      </c>
    </row>
    <row r="10" spans="1:17" s="47" customFormat="1" x14ac:dyDescent="0.15">
      <c r="A10" s="12" t="s">
        <v>12</v>
      </c>
      <c r="B10" s="27">
        <v>5</v>
      </c>
      <c r="C10" s="28">
        <v>5</v>
      </c>
      <c r="D10" s="27">
        <v>6</v>
      </c>
      <c r="E10" s="28">
        <v>5</v>
      </c>
      <c r="F10" s="27">
        <v>4</v>
      </c>
      <c r="G10" s="28">
        <v>5</v>
      </c>
      <c r="H10" s="27">
        <v>4</v>
      </c>
      <c r="I10" s="28">
        <v>6</v>
      </c>
      <c r="J10" s="27">
        <v>7</v>
      </c>
      <c r="K10" s="28">
        <v>7</v>
      </c>
      <c r="L10" s="27">
        <v>5</v>
      </c>
      <c r="M10" s="28">
        <v>3</v>
      </c>
      <c r="N10" s="27">
        <v>5</v>
      </c>
      <c r="O10" s="42">
        <v>5</v>
      </c>
      <c r="P10" s="45">
        <f t="shared" si="0"/>
        <v>72</v>
      </c>
      <c r="Q10" s="46" t="s">
        <v>222</v>
      </c>
    </row>
    <row r="11" spans="1:17" s="47" customFormat="1" ht="35.25" x14ac:dyDescent="0.15">
      <c r="A11" s="12" t="s">
        <v>4</v>
      </c>
      <c r="B11" s="27">
        <v>4</v>
      </c>
      <c r="C11" s="28">
        <v>4</v>
      </c>
      <c r="D11" s="27">
        <v>5</v>
      </c>
      <c r="E11" s="28">
        <v>5</v>
      </c>
      <c r="F11" s="27">
        <v>2</v>
      </c>
      <c r="G11" s="28">
        <v>6</v>
      </c>
      <c r="H11" s="27">
        <v>7</v>
      </c>
      <c r="I11" s="28">
        <v>7</v>
      </c>
      <c r="J11" s="27">
        <v>4</v>
      </c>
      <c r="K11" s="28">
        <v>5</v>
      </c>
      <c r="L11" s="27">
        <v>7</v>
      </c>
      <c r="M11" s="28">
        <v>6</v>
      </c>
      <c r="N11" s="27">
        <v>5</v>
      </c>
      <c r="O11" s="42">
        <v>4</v>
      </c>
      <c r="P11" s="45">
        <f t="shared" si="0"/>
        <v>71</v>
      </c>
      <c r="Q11" s="46" t="s">
        <v>222</v>
      </c>
    </row>
    <row r="12" spans="1:17" s="26" customFormat="1" ht="24" x14ac:dyDescent="0.15">
      <c r="A12" s="12" t="s">
        <v>6</v>
      </c>
      <c r="B12" s="27">
        <v>3</v>
      </c>
      <c r="C12" s="28">
        <v>7</v>
      </c>
      <c r="D12" s="27">
        <v>7</v>
      </c>
      <c r="E12" s="28">
        <v>6</v>
      </c>
      <c r="F12" s="27">
        <v>5</v>
      </c>
      <c r="G12" s="28">
        <v>6</v>
      </c>
      <c r="H12" s="27">
        <v>5</v>
      </c>
      <c r="I12" s="28">
        <v>4</v>
      </c>
      <c r="J12" s="27">
        <v>7</v>
      </c>
      <c r="K12" s="28">
        <v>5</v>
      </c>
      <c r="L12" s="27">
        <v>1</v>
      </c>
      <c r="M12" s="28">
        <v>3</v>
      </c>
      <c r="N12" s="27">
        <v>5</v>
      </c>
      <c r="O12" s="42">
        <v>7</v>
      </c>
      <c r="P12" s="44">
        <f t="shared" si="0"/>
        <v>71</v>
      </c>
      <c r="Q12" s="43" t="s">
        <v>223</v>
      </c>
    </row>
    <row r="13" spans="1:17" s="26" customFormat="1" ht="24" x14ac:dyDescent="0.15">
      <c r="A13" s="82" t="s">
        <v>3</v>
      </c>
      <c r="B13" s="27">
        <v>7</v>
      </c>
      <c r="C13" s="28">
        <v>1</v>
      </c>
      <c r="D13" s="27">
        <v>5</v>
      </c>
      <c r="E13" s="28">
        <v>5</v>
      </c>
      <c r="F13" s="27">
        <v>2</v>
      </c>
      <c r="G13" s="28">
        <v>4</v>
      </c>
      <c r="H13" s="27">
        <v>7</v>
      </c>
      <c r="I13" s="28">
        <v>7</v>
      </c>
      <c r="J13" s="27">
        <v>7</v>
      </c>
      <c r="K13" s="28">
        <v>7</v>
      </c>
      <c r="L13" s="27">
        <v>3</v>
      </c>
      <c r="M13" s="28">
        <v>3</v>
      </c>
      <c r="N13" s="27">
        <v>5</v>
      </c>
      <c r="O13" s="42">
        <v>4</v>
      </c>
      <c r="P13" s="44">
        <f t="shared" si="0"/>
        <v>67</v>
      </c>
      <c r="Q13" s="43" t="s">
        <v>223</v>
      </c>
    </row>
    <row r="14" spans="1:17" s="26" customFormat="1" ht="46.5" x14ac:dyDescent="0.15">
      <c r="A14" s="12" t="s">
        <v>5</v>
      </c>
      <c r="B14" s="27">
        <v>7</v>
      </c>
      <c r="C14" s="28">
        <v>1</v>
      </c>
      <c r="D14" s="27">
        <v>7</v>
      </c>
      <c r="E14" s="28">
        <v>3</v>
      </c>
      <c r="F14" s="27">
        <v>2</v>
      </c>
      <c r="G14" s="28">
        <v>4</v>
      </c>
      <c r="H14" s="27">
        <v>7</v>
      </c>
      <c r="I14" s="28">
        <v>7</v>
      </c>
      <c r="J14" s="27">
        <v>4</v>
      </c>
      <c r="K14" s="28">
        <v>7</v>
      </c>
      <c r="L14" s="27">
        <v>1</v>
      </c>
      <c r="M14" s="28">
        <v>5</v>
      </c>
      <c r="N14" s="27">
        <v>5</v>
      </c>
      <c r="O14" s="42">
        <v>5</v>
      </c>
      <c r="P14" s="44">
        <f t="shared" si="0"/>
        <v>65</v>
      </c>
      <c r="Q14" s="43" t="s">
        <v>223</v>
      </c>
    </row>
    <row r="15" spans="1:17" s="26" customFormat="1" ht="35.25" x14ac:dyDescent="0.15">
      <c r="A15" s="12" t="s">
        <v>8</v>
      </c>
      <c r="B15" s="27">
        <v>7</v>
      </c>
      <c r="C15" s="28">
        <v>1</v>
      </c>
      <c r="D15" s="27">
        <v>6</v>
      </c>
      <c r="E15" s="28">
        <v>5</v>
      </c>
      <c r="F15" s="27">
        <v>5</v>
      </c>
      <c r="G15" s="28">
        <v>3</v>
      </c>
      <c r="H15" s="27">
        <v>6</v>
      </c>
      <c r="I15" s="28">
        <v>7</v>
      </c>
      <c r="J15" s="27">
        <v>4</v>
      </c>
      <c r="K15" s="28">
        <v>2</v>
      </c>
      <c r="L15" s="27">
        <v>7</v>
      </c>
      <c r="M15" s="28">
        <v>6</v>
      </c>
      <c r="N15" s="27">
        <v>3</v>
      </c>
      <c r="O15" s="42">
        <v>3</v>
      </c>
      <c r="P15" s="44">
        <f t="shared" si="0"/>
        <v>65</v>
      </c>
      <c r="Q15" s="43" t="s">
        <v>223</v>
      </c>
    </row>
    <row r="16" spans="1:17" s="26" customFormat="1" ht="35.25" x14ac:dyDescent="0.15">
      <c r="A16" s="12" t="s">
        <v>15</v>
      </c>
      <c r="B16" s="27">
        <v>4</v>
      </c>
      <c r="C16" s="28">
        <v>5</v>
      </c>
      <c r="D16" s="27">
        <v>6</v>
      </c>
      <c r="E16" s="28">
        <v>4</v>
      </c>
      <c r="F16" s="27">
        <v>3</v>
      </c>
      <c r="G16" s="28">
        <v>5</v>
      </c>
      <c r="H16" s="27">
        <v>7</v>
      </c>
      <c r="I16" s="28">
        <v>4</v>
      </c>
      <c r="J16" s="27">
        <v>7</v>
      </c>
      <c r="K16" s="28">
        <v>6</v>
      </c>
      <c r="L16" s="27">
        <v>1</v>
      </c>
      <c r="M16" s="28">
        <v>4</v>
      </c>
      <c r="N16" s="27">
        <v>1</v>
      </c>
      <c r="O16" s="42">
        <v>7</v>
      </c>
      <c r="P16" s="44">
        <f t="shared" si="0"/>
        <v>64</v>
      </c>
      <c r="Q16" s="43" t="s">
        <v>223</v>
      </c>
    </row>
    <row r="17" spans="1:17" s="26" customFormat="1" ht="24" x14ac:dyDescent="0.15">
      <c r="A17" s="12" t="s">
        <v>18</v>
      </c>
      <c r="B17" s="27">
        <v>1</v>
      </c>
      <c r="C17" s="28">
        <v>5</v>
      </c>
      <c r="D17" s="27">
        <v>5</v>
      </c>
      <c r="E17" s="28">
        <v>5</v>
      </c>
      <c r="F17" s="27">
        <v>4</v>
      </c>
      <c r="G17" s="28">
        <v>4</v>
      </c>
      <c r="H17" s="27">
        <v>7</v>
      </c>
      <c r="I17" s="28">
        <v>7</v>
      </c>
      <c r="J17" s="27">
        <v>7</v>
      </c>
      <c r="K17" s="28">
        <v>6</v>
      </c>
      <c r="L17" s="27">
        <v>2</v>
      </c>
      <c r="M17" s="28">
        <v>3</v>
      </c>
      <c r="N17" s="27">
        <v>4</v>
      </c>
      <c r="O17" s="42">
        <v>3</v>
      </c>
      <c r="P17" s="44">
        <f t="shared" si="0"/>
        <v>63</v>
      </c>
      <c r="Q17" s="43" t="s">
        <v>223</v>
      </c>
    </row>
  </sheetData>
  <autoFilter ref="Q1:Q17" xr:uid="{2EC40F28-C716-4400-8652-F71C94BA6191}"/>
  <sortState xmlns:xlrd2="http://schemas.microsoft.com/office/spreadsheetml/2017/richdata2" ref="A2:P17">
    <sortCondition descending="1" ref="P2:P17"/>
  </sortState>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ED969-4E54-4E0A-AB0D-8254548EFDA0}">
  <dimension ref="A1:Q40"/>
  <sheetViews>
    <sheetView zoomScaleNormal="100" workbookViewId="0"/>
  </sheetViews>
  <sheetFormatPr defaultColWidth="8.8984375" defaultRowHeight="12.75" x14ac:dyDescent="0.15"/>
  <cols>
    <col min="1" max="1" width="50.83984375" style="26" customWidth="1"/>
    <col min="2" max="15" width="8.8984375" hidden="1" customWidth="1"/>
    <col min="16" max="16" width="19.6875" bestFit="1" customWidth="1"/>
    <col min="17" max="17" width="16.71875" style="36" bestFit="1" customWidth="1"/>
  </cols>
  <sheetData>
    <row r="1" spans="1:17" ht="127.5" x14ac:dyDescent="0.15">
      <c r="A1" s="51" t="s">
        <v>278</v>
      </c>
      <c r="B1" s="18"/>
      <c r="C1" s="18"/>
      <c r="D1" s="18"/>
      <c r="E1" s="18"/>
      <c r="F1" s="18"/>
      <c r="G1" s="18"/>
      <c r="H1" s="18"/>
      <c r="I1" s="18"/>
      <c r="J1" s="18"/>
      <c r="K1" s="18"/>
      <c r="L1" s="18"/>
      <c r="M1" s="18"/>
      <c r="N1" s="18"/>
      <c r="O1" s="18"/>
      <c r="P1" s="50" t="s">
        <v>224</v>
      </c>
      <c r="Q1" s="50" t="s">
        <v>225</v>
      </c>
    </row>
    <row r="2" spans="1:17" s="26" customFormat="1" ht="81" x14ac:dyDescent="0.15">
      <c r="A2" s="34" t="s">
        <v>262</v>
      </c>
      <c r="B2" s="74">
        <v>7</v>
      </c>
      <c r="C2" s="74">
        <v>5</v>
      </c>
      <c r="D2" s="74">
        <v>7</v>
      </c>
      <c r="E2" s="74">
        <v>5</v>
      </c>
      <c r="F2" s="74">
        <v>7</v>
      </c>
      <c r="G2" s="74">
        <v>7</v>
      </c>
      <c r="H2" s="74">
        <v>7</v>
      </c>
      <c r="I2" s="74">
        <v>6</v>
      </c>
      <c r="J2" s="74">
        <v>7</v>
      </c>
      <c r="K2" s="74">
        <v>7</v>
      </c>
      <c r="L2" s="74">
        <v>7</v>
      </c>
      <c r="M2" s="74">
        <v>6</v>
      </c>
      <c r="N2" s="74">
        <v>7</v>
      </c>
      <c r="O2" s="74">
        <v>6</v>
      </c>
      <c r="P2" s="45">
        <f t="shared" ref="P2:P40" si="0">SUM(B2:O2)</f>
        <v>91</v>
      </c>
      <c r="Q2" s="75" t="s">
        <v>222</v>
      </c>
    </row>
    <row r="3" spans="1:17" s="26" customFormat="1" ht="69.75" x14ac:dyDescent="0.15">
      <c r="A3" s="34" t="s">
        <v>32</v>
      </c>
      <c r="B3" s="74">
        <v>7</v>
      </c>
      <c r="C3" s="74">
        <v>6</v>
      </c>
      <c r="D3" s="74">
        <v>5</v>
      </c>
      <c r="E3" s="74">
        <v>7</v>
      </c>
      <c r="F3" s="74">
        <v>7</v>
      </c>
      <c r="G3" s="74">
        <v>5</v>
      </c>
      <c r="H3" s="74">
        <v>7</v>
      </c>
      <c r="I3" s="74">
        <v>7</v>
      </c>
      <c r="J3" s="74">
        <v>7</v>
      </c>
      <c r="K3" s="74">
        <v>7</v>
      </c>
      <c r="L3" s="74">
        <v>7</v>
      </c>
      <c r="M3" s="74">
        <v>4</v>
      </c>
      <c r="N3" s="74">
        <v>7</v>
      </c>
      <c r="O3" s="74">
        <v>6</v>
      </c>
      <c r="P3" s="45">
        <f t="shared" si="0"/>
        <v>89</v>
      </c>
      <c r="Q3" s="75" t="s">
        <v>222</v>
      </c>
    </row>
    <row r="4" spans="1:17" s="26" customFormat="1" ht="46.5" x14ac:dyDescent="0.15">
      <c r="A4" s="34" t="s">
        <v>28</v>
      </c>
      <c r="B4" s="74">
        <v>6</v>
      </c>
      <c r="C4" s="74">
        <v>5</v>
      </c>
      <c r="D4" s="74">
        <v>7</v>
      </c>
      <c r="E4" s="74">
        <v>6</v>
      </c>
      <c r="F4" s="74">
        <v>7</v>
      </c>
      <c r="G4" s="74">
        <v>6</v>
      </c>
      <c r="H4" s="74">
        <v>7</v>
      </c>
      <c r="I4" s="74">
        <v>6</v>
      </c>
      <c r="J4" s="74">
        <v>7</v>
      </c>
      <c r="K4" s="74">
        <v>7</v>
      </c>
      <c r="L4" s="74">
        <v>7</v>
      </c>
      <c r="M4" s="74">
        <v>5</v>
      </c>
      <c r="N4" s="74">
        <v>6</v>
      </c>
      <c r="O4" s="74">
        <v>5</v>
      </c>
      <c r="P4" s="45">
        <f t="shared" si="0"/>
        <v>87</v>
      </c>
      <c r="Q4" s="75" t="s">
        <v>222</v>
      </c>
    </row>
    <row r="5" spans="1:17" s="26" customFormat="1" ht="46.5" x14ac:dyDescent="0.15">
      <c r="A5" s="34" t="s">
        <v>35</v>
      </c>
      <c r="B5" s="74">
        <v>7</v>
      </c>
      <c r="C5" s="74">
        <v>4</v>
      </c>
      <c r="D5" s="74">
        <v>6</v>
      </c>
      <c r="E5" s="74">
        <v>7</v>
      </c>
      <c r="F5" s="74">
        <v>5</v>
      </c>
      <c r="G5" s="74">
        <v>6</v>
      </c>
      <c r="H5" s="74">
        <v>7</v>
      </c>
      <c r="I5" s="74">
        <v>6</v>
      </c>
      <c r="J5" s="74">
        <v>7</v>
      </c>
      <c r="K5" s="74">
        <v>7</v>
      </c>
      <c r="L5" s="74">
        <v>7</v>
      </c>
      <c r="M5" s="74">
        <v>5</v>
      </c>
      <c r="N5" s="74">
        <v>6</v>
      </c>
      <c r="O5" s="74">
        <v>6</v>
      </c>
      <c r="P5" s="45">
        <f t="shared" si="0"/>
        <v>86</v>
      </c>
      <c r="Q5" s="75" t="s">
        <v>222</v>
      </c>
    </row>
    <row r="6" spans="1:17" s="26" customFormat="1" ht="58.5" x14ac:dyDescent="0.15">
      <c r="A6" s="34" t="s">
        <v>139</v>
      </c>
      <c r="B6" s="74">
        <v>6</v>
      </c>
      <c r="C6" s="74">
        <v>6</v>
      </c>
      <c r="D6" s="74">
        <v>4</v>
      </c>
      <c r="E6" s="74">
        <v>5</v>
      </c>
      <c r="F6" s="74">
        <v>5</v>
      </c>
      <c r="G6" s="74">
        <v>7</v>
      </c>
      <c r="H6" s="74">
        <v>7</v>
      </c>
      <c r="I6" s="74">
        <v>7</v>
      </c>
      <c r="J6" s="74">
        <v>7</v>
      </c>
      <c r="K6" s="74">
        <v>6</v>
      </c>
      <c r="L6" s="74">
        <v>7</v>
      </c>
      <c r="M6" s="74">
        <v>5</v>
      </c>
      <c r="N6" s="74">
        <v>7</v>
      </c>
      <c r="O6" s="74">
        <v>6</v>
      </c>
      <c r="P6" s="45">
        <f t="shared" si="0"/>
        <v>85</v>
      </c>
      <c r="Q6" s="75" t="s">
        <v>222</v>
      </c>
    </row>
    <row r="7" spans="1:17" s="26" customFormat="1" ht="24" x14ac:dyDescent="0.15">
      <c r="A7" s="34" t="s">
        <v>20</v>
      </c>
      <c r="B7" s="74">
        <v>3</v>
      </c>
      <c r="C7" s="74">
        <v>6</v>
      </c>
      <c r="D7" s="74">
        <v>6</v>
      </c>
      <c r="E7" s="74">
        <v>7</v>
      </c>
      <c r="F7" s="74">
        <v>5</v>
      </c>
      <c r="G7" s="74">
        <v>7</v>
      </c>
      <c r="H7" s="74">
        <v>7</v>
      </c>
      <c r="I7" s="74">
        <v>6</v>
      </c>
      <c r="J7" s="74">
        <v>7</v>
      </c>
      <c r="K7" s="74">
        <v>6</v>
      </c>
      <c r="L7" s="74">
        <v>7</v>
      </c>
      <c r="M7" s="74">
        <v>5</v>
      </c>
      <c r="N7" s="74">
        <v>7</v>
      </c>
      <c r="O7" s="74">
        <v>5</v>
      </c>
      <c r="P7" s="45">
        <f t="shared" si="0"/>
        <v>84</v>
      </c>
      <c r="Q7" s="75" t="s">
        <v>222</v>
      </c>
    </row>
    <row r="8" spans="1:17" s="26" customFormat="1" ht="46.5" x14ac:dyDescent="0.15">
      <c r="A8" s="34" t="s">
        <v>37</v>
      </c>
      <c r="B8" s="74">
        <v>7</v>
      </c>
      <c r="C8" s="74">
        <v>6</v>
      </c>
      <c r="D8" s="74">
        <v>5</v>
      </c>
      <c r="E8" s="74">
        <v>6</v>
      </c>
      <c r="F8" s="74">
        <v>5</v>
      </c>
      <c r="G8" s="74">
        <v>4</v>
      </c>
      <c r="H8" s="74">
        <v>7</v>
      </c>
      <c r="I8" s="74">
        <v>7</v>
      </c>
      <c r="J8" s="74">
        <v>7</v>
      </c>
      <c r="K8" s="74">
        <v>7</v>
      </c>
      <c r="L8" s="74">
        <v>7</v>
      </c>
      <c r="M8" s="74">
        <v>4</v>
      </c>
      <c r="N8" s="74">
        <v>7</v>
      </c>
      <c r="O8" s="74">
        <v>5</v>
      </c>
      <c r="P8" s="45">
        <f t="shared" si="0"/>
        <v>84</v>
      </c>
      <c r="Q8" s="75" t="s">
        <v>222</v>
      </c>
    </row>
    <row r="9" spans="1:17" s="26" customFormat="1" ht="35.25" x14ac:dyDescent="0.15">
      <c r="A9" s="34" t="s">
        <v>23</v>
      </c>
      <c r="B9" s="74">
        <v>7</v>
      </c>
      <c r="C9" s="74">
        <v>5</v>
      </c>
      <c r="D9" s="74">
        <v>5</v>
      </c>
      <c r="E9" s="74">
        <v>4</v>
      </c>
      <c r="F9" s="74">
        <v>6</v>
      </c>
      <c r="G9" s="74">
        <v>6</v>
      </c>
      <c r="H9" s="74">
        <v>7</v>
      </c>
      <c r="I9" s="74">
        <v>6</v>
      </c>
      <c r="J9" s="74">
        <v>7</v>
      </c>
      <c r="K9" s="74">
        <v>7</v>
      </c>
      <c r="L9" s="74">
        <v>7</v>
      </c>
      <c r="M9" s="74">
        <v>5</v>
      </c>
      <c r="N9" s="74">
        <v>6</v>
      </c>
      <c r="O9" s="74">
        <v>5</v>
      </c>
      <c r="P9" s="45">
        <f t="shared" si="0"/>
        <v>83</v>
      </c>
      <c r="Q9" s="75" t="s">
        <v>222</v>
      </c>
    </row>
    <row r="10" spans="1:17" s="26" customFormat="1" ht="138.75" x14ac:dyDescent="0.15">
      <c r="A10" s="34" t="s">
        <v>263</v>
      </c>
      <c r="B10" s="74">
        <v>7</v>
      </c>
      <c r="C10" s="74">
        <v>5</v>
      </c>
      <c r="D10" s="74">
        <v>7</v>
      </c>
      <c r="E10" s="74">
        <v>3</v>
      </c>
      <c r="F10" s="74">
        <v>4</v>
      </c>
      <c r="G10" s="74">
        <v>6</v>
      </c>
      <c r="H10" s="74">
        <v>7</v>
      </c>
      <c r="I10" s="74">
        <v>7</v>
      </c>
      <c r="J10" s="74">
        <v>7</v>
      </c>
      <c r="K10" s="74">
        <v>7</v>
      </c>
      <c r="L10" s="74">
        <v>6</v>
      </c>
      <c r="M10" s="74">
        <v>5</v>
      </c>
      <c r="N10" s="74">
        <v>7</v>
      </c>
      <c r="O10" s="74">
        <v>5</v>
      </c>
      <c r="P10" s="45">
        <f t="shared" si="0"/>
        <v>83</v>
      </c>
      <c r="Q10" s="75" t="s">
        <v>222</v>
      </c>
    </row>
    <row r="11" spans="1:17" s="26" customFormat="1" ht="46.5" x14ac:dyDescent="0.15">
      <c r="A11" s="34" t="s">
        <v>107</v>
      </c>
      <c r="B11" s="74">
        <v>7</v>
      </c>
      <c r="C11" s="74">
        <v>4</v>
      </c>
      <c r="D11" s="74">
        <v>7</v>
      </c>
      <c r="E11" s="74">
        <v>7</v>
      </c>
      <c r="F11" s="74">
        <v>6</v>
      </c>
      <c r="G11" s="74">
        <v>7</v>
      </c>
      <c r="H11" s="74">
        <v>7</v>
      </c>
      <c r="I11" s="74">
        <v>4</v>
      </c>
      <c r="J11" s="74">
        <v>4</v>
      </c>
      <c r="K11" s="74">
        <v>7</v>
      </c>
      <c r="L11" s="74">
        <v>7</v>
      </c>
      <c r="M11" s="74">
        <v>3</v>
      </c>
      <c r="N11" s="74">
        <v>7</v>
      </c>
      <c r="O11" s="74">
        <v>5</v>
      </c>
      <c r="P11" s="45">
        <f t="shared" si="0"/>
        <v>82</v>
      </c>
      <c r="Q11" s="75" t="s">
        <v>222</v>
      </c>
    </row>
    <row r="12" spans="1:17" s="26" customFormat="1" ht="115.5" x14ac:dyDescent="0.15">
      <c r="A12" s="34" t="s">
        <v>264</v>
      </c>
      <c r="B12" s="74">
        <v>5</v>
      </c>
      <c r="C12" s="74">
        <v>5</v>
      </c>
      <c r="D12" s="74">
        <v>3</v>
      </c>
      <c r="E12" s="74">
        <v>5</v>
      </c>
      <c r="F12" s="74">
        <v>5</v>
      </c>
      <c r="G12" s="74">
        <v>7</v>
      </c>
      <c r="H12" s="74">
        <v>7</v>
      </c>
      <c r="I12" s="74">
        <v>6</v>
      </c>
      <c r="J12" s="74">
        <v>7</v>
      </c>
      <c r="K12" s="74">
        <v>7</v>
      </c>
      <c r="L12" s="74">
        <v>7</v>
      </c>
      <c r="M12" s="74">
        <v>6</v>
      </c>
      <c r="N12" s="74">
        <v>7</v>
      </c>
      <c r="O12" s="74">
        <v>5</v>
      </c>
      <c r="P12" s="45">
        <f t="shared" si="0"/>
        <v>82</v>
      </c>
      <c r="Q12" s="75" t="s">
        <v>222</v>
      </c>
    </row>
    <row r="13" spans="1:17" s="26" customFormat="1" ht="58.5" x14ac:dyDescent="0.15">
      <c r="A13" s="34" t="s">
        <v>27</v>
      </c>
      <c r="B13" s="74">
        <v>7</v>
      </c>
      <c r="C13" s="74">
        <v>1</v>
      </c>
      <c r="D13" s="74">
        <v>4</v>
      </c>
      <c r="E13" s="74">
        <v>7</v>
      </c>
      <c r="F13" s="74">
        <v>6</v>
      </c>
      <c r="G13" s="74">
        <v>6</v>
      </c>
      <c r="H13" s="74">
        <v>7</v>
      </c>
      <c r="I13" s="74">
        <v>7</v>
      </c>
      <c r="J13" s="74">
        <v>7</v>
      </c>
      <c r="K13" s="74">
        <v>6</v>
      </c>
      <c r="L13" s="74">
        <v>7</v>
      </c>
      <c r="M13" s="74">
        <v>5</v>
      </c>
      <c r="N13" s="74">
        <v>5</v>
      </c>
      <c r="O13" s="74">
        <v>6</v>
      </c>
      <c r="P13" s="45">
        <f t="shared" si="0"/>
        <v>81</v>
      </c>
      <c r="Q13" s="75" t="s">
        <v>223</v>
      </c>
    </row>
    <row r="14" spans="1:17" s="26" customFormat="1" ht="138.75" x14ac:dyDescent="0.15">
      <c r="A14" s="34" t="s">
        <v>265</v>
      </c>
      <c r="B14" s="74">
        <v>3</v>
      </c>
      <c r="C14" s="74">
        <v>5</v>
      </c>
      <c r="D14" s="74">
        <v>7</v>
      </c>
      <c r="E14" s="74">
        <v>4</v>
      </c>
      <c r="F14" s="74">
        <v>5</v>
      </c>
      <c r="G14" s="74">
        <v>6</v>
      </c>
      <c r="H14" s="74">
        <v>7</v>
      </c>
      <c r="I14" s="74">
        <v>5</v>
      </c>
      <c r="J14" s="74">
        <v>7</v>
      </c>
      <c r="K14" s="74">
        <v>7</v>
      </c>
      <c r="L14" s="74">
        <v>7</v>
      </c>
      <c r="M14" s="74">
        <v>6</v>
      </c>
      <c r="N14" s="74">
        <v>6</v>
      </c>
      <c r="O14" s="74">
        <v>6</v>
      </c>
      <c r="P14" s="45">
        <f t="shared" si="0"/>
        <v>81</v>
      </c>
      <c r="Q14" s="75" t="s">
        <v>223</v>
      </c>
    </row>
    <row r="15" spans="1:17" s="26" customFormat="1" ht="288" x14ac:dyDescent="0.15">
      <c r="A15" s="34" t="s">
        <v>266</v>
      </c>
      <c r="B15" s="74">
        <v>3</v>
      </c>
      <c r="C15" s="74">
        <v>4</v>
      </c>
      <c r="D15" s="74">
        <v>7</v>
      </c>
      <c r="E15" s="74">
        <v>7</v>
      </c>
      <c r="F15" s="74">
        <v>6</v>
      </c>
      <c r="G15" s="74">
        <v>7</v>
      </c>
      <c r="H15" s="74">
        <v>7</v>
      </c>
      <c r="I15" s="74">
        <v>7</v>
      </c>
      <c r="J15" s="74">
        <v>7</v>
      </c>
      <c r="K15" s="74">
        <v>5</v>
      </c>
      <c r="L15" s="74">
        <v>7</v>
      </c>
      <c r="M15" s="74">
        <v>6</v>
      </c>
      <c r="N15" s="74">
        <v>3</v>
      </c>
      <c r="O15" s="74">
        <v>5</v>
      </c>
      <c r="P15" s="45">
        <f t="shared" si="0"/>
        <v>81</v>
      </c>
      <c r="Q15" s="75" t="s">
        <v>223</v>
      </c>
    </row>
    <row r="16" spans="1:17" s="26" customFormat="1" ht="81" x14ac:dyDescent="0.15">
      <c r="A16" s="34" t="s">
        <v>267</v>
      </c>
      <c r="B16" s="74">
        <v>5</v>
      </c>
      <c r="C16" s="74">
        <v>6</v>
      </c>
      <c r="D16" s="74">
        <v>3</v>
      </c>
      <c r="E16" s="74">
        <v>7</v>
      </c>
      <c r="F16" s="74">
        <v>7</v>
      </c>
      <c r="G16" s="74">
        <v>4</v>
      </c>
      <c r="H16" s="74">
        <v>7</v>
      </c>
      <c r="I16" s="74">
        <v>7</v>
      </c>
      <c r="J16" s="74">
        <v>7</v>
      </c>
      <c r="K16" s="74">
        <v>6</v>
      </c>
      <c r="L16" s="74">
        <v>5</v>
      </c>
      <c r="M16" s="74">
        <v>5</v>
      </c>
      <c r="N16" s="74">
        <v>6</v>
      </c>
      <c r="O16" s="74">
        <v>5</v>
      </c>
      <c r="P16" s="45">
        <f t="shared" si="0"/>
        <v>80</v>
      </c>
      <c r="Q16" s="75" t="s">
        <v>223</v>
      </c>
    </row>
    <row r="17" spans="1:17" s="26" customFormat="1" x14ac:dyDescent="0.15">
      <c r="A17" s="34" t="s">
        <v>22</v>
      </c>
      <c r="B17" s="74">
        <v>5</v>
      </c>
      <c r="C17" s="74">
        <v>5</v>
      </c>
      <c r="D17" s="74">
        <v>7</v>
      </c>
      <c r="E17" s="74">
        <v>5</v>
      </c>
      <c r="F17" s="74">
        <v>7</v>
      </c>
      <c r="G17" s="74">
        <v>7</v>
      </c>
      <c r="H17" s="74">
        <v>7</v>
      </c>
      <c r="I17" s="74">
        <v>7</v>
      </c>
      <c r="J17" s="74">
        <v>7</v>
      </c>
      <c r="K17" s="74">
        <v>3</v>
      </c>
      <c r="L17" s="74">
        <v>3</v>
      </c>
      <c r="M17" s="74">
        <v>5</v>
      </c>
      <c r="N17" s="74">
        <v>7</v>
      </c>
      <c r="O17" s="74">
        <v>5</v>
      </c>
      <c r="P17" s="45">
        <f t="shared" si="0"/>
        <v>80</v>
      </c>
      <c r="Q17" s="75" t="s">
        <v>223</v>
      </c>
    </row>
    <row r="18" spans="1:17" s="26" customFormat="1" ht="46.5" x14ac:dyDescent="0.15">
      <c r="A18" s="34" t="s">
        <v>26</v>
      </c>
      <c r="B18" s="74">
        <v>6</v>
      </c>
      <c r="C18" s="74">
        <v>3</v>
      </c>
      <c r="D18" s="74">
        <v>7</v>
      </c>
      <c r="E18" s="74">
        <v>1</v>
      </c>
      <c r="F18" s="74">
        <v>6</v>
      </c>
      <c r="G18" s="74">
        <v>6</v>
      </c>
      <c r="H18" s="74">
        <v>7</v>
      </c>
      <c r="I18" s="74">
        <v>7</v>
      </c>
      <c r="J18" s="74">
        <v>7</v>
      </c>
      <c r="K18" s="74">
        <v>7</v>
      </c>
      <c r="L18" s="74">
        <v>7</v>
      </c>
      <c r="M18" s="74">
        <v>6</v>
      </c>
      <c r="N18" s="74">
        <v>5</v>
      </c>
      <c r="O18" s="74">
        <v>5</v>
      </c>
      <c r="P18" s="45">
        <f t="shared" si="0"/>
        <v>80</v>
      </c>
      <c r="Q18" s="75" t="s">
        <v>223</v>
      </c>
    </row>
    <row r="19" spans="1:17" s="26" customFormat="1" ht="46.5" x14ac:dyDescent="0.15">
      <c r="A19" s="34" t="s">
        <v>34</v>
      </c>
      <c r="B19" s="74">
        <v>7</v>
      </c>
      <c r="C19" s="74">
        <v>6</v>
      </c>
      <c r="D19" s="74">
        <v>5</v>
      </c>
      <c r="E19" s="74">
        <v>7</v>
      </c>
      <c r="F19" s="74">
        <v>5</v>
      </c>
      <c r="G19" s="74">
        <v>5</v>
      </c>
      <c r="H19" s="74">
        <v>7</v>
      </c>
      <c r="I19" s="74">
        <v>4</v>
      </c>
      <c r="J19" s="74">
        <v>7</v>
      </c>
      <c r="K19" s="74">
        <v>7</v>
      </c>
      <c r="L19" s="74">
        <v>6</v>
      </c>
      <c r="M19" s="74">
        <v>5</v>
      </c>
      <c r="N19" s="74">
        <v>4</v>
      </c>
      <c r="O19" s="74">
        <v>5</v>
      </c>
      <c r="P19" s="45">
        <f t="shared" si="0"/>
        <v>80</v>
      </c>
      <c r="Q19" s="75" t="s">
        <v>223</v>
      </c>
    </row>
    <row r="20" spans="1:17" s="26" customFormat="1" ht="46.5" x14ac:dyDescent="0.15">
      <c r="A20" s="34" t="s">
        <v>33</v>
      </c>
      <c r="B20" s="74">
        <v>7</v>
      </c>
      <c r="C20" s="74">
        <v>6</v>
      </c>
      <c r="D20" s="74">
        <v>4</v>
      </c>
      <c r="E20" s="74">
        <v>4</v>
      </c>
      <c r="F20" s="74">
        <v>5</v>
      </c>
      <c r="G20" s="74">
        <v>5</v>
      </c>
      <c r="H20" s="74">
        <v>7</v>
      </c>
      <c r="I20" s="74">
        <v>6</v>
      </c>
      <c r="J20" s="74">
        <v>7</v>
      </c>
      <c r="K20" s="74">
        <v>7</v>
      </c>
      <c r="L20" s="74">
        <v>7</v>
      </c>
      <c r="M20" s="74">
        <v>5</v>
      </c>
      <c r="N20" s="74">
        <v>5</v>
      </c>
      <c r="O20" s="74">
        <v>4</v>
      </c>
      <c r="P20" s="45">
        <f t="shared" si="0"/>
        <v>79</v>
      </c>
      <c r="Q20" s="75" t="s">
        <v>223</v>
      </c>
    </row>
    <row r="21" spans="1:17" s="26" customFormat="1" ht="35.25" x14ac:dyDescent="0.15">
      <c r="A21" s="34" t="s">
        <v>29</v>
      </c>
      <c r="B21" s="74">
        <v>5</v>
      </c>
      <c r="C21" s="74">
        <v>2</v>
      </c>
      <c r="D21" s="74">
        <v>6</v>
      </c>
      <c r="E21" s="74">
        <v>4</v>
      </c>
      <c r="F21" s="74">
        <v>6</v>
      </c>
      <c r="G21" s="74">
        <v>6</v>
      </c>
      <c r="H21" s="74">
        <v>7</v>
      </c>
      <c r="I21" s="74">
        <v>6</v>
      </c>
      <c r="J21" s="74">
        <v>7</v>
      </c>
      <c r="K21" s="74">
        <v>7</v>
      </c>
      <c r="L21" s="74">
        <v>7</v>
      </c>
      <c r="M21" s="74">
        <v>6</v>
      </c>
      <c r="N21" s="74">
        <v>4</v>
      </c>
      <c r="O21" s="74">
        <v>5</v>
      </c>
      <c r="P21" s="45">
        <f t="shared" si="0"/>
        <v>78</v>
      </c>
      <c r="Q21" s="75" t="s">
        <v>223</v>
      </c>
    </row>
    <row r="22" spans="1:17" s="26" customFormat="1" ht="93" x14ac:dyDescent="0.15">
      <c r="A22" s="34" t="s">
        <v>268</v>
      </c>
      <c r="B22" s="74">
        <v>7</v>
      </c>
      <c r="C22" s="74">
        <v>1</v>
      </c>
      <c r="D22" s="74">
        <v>4</v>
      </c>
      <c r="E22" s="74">
        <v>5</v>
      </c>
      <c r="F22" s="74">
        <v>5</v>
      </c>
      <c r="G22" s="74">
        <v>5</v>
      </c>
      <c r="H22" s="74">
        <v>7</v>
      </c>
      <c r="I22" s="74">
        <v>7</v>
      </c>
      <c r="J22" s="74">
        <v>7</v>
      </c>
      <c r="K22" s="74">
        <v>6</v>
      </c>
      <c r="L22" s="74">
        <v>5</v>
      </c>
      <c r="M22" s="74">
        <v>5</v>
      </c>
      <c r="N22" s="74">
        <v>6</v>
      </c>
      <c r="O22" s="74">
        <v>7</v>
      </c>
      <c r="P22" s="45">
        <f t="shared" si="0"/>
        <v>77</v>
      </c>
      <c r="Q22" s="75" t="s">
        <v>223</v>
      </c>
    </row>
    <row r="23" spans="1:17" s="26" customFormat="1" ht="46.5" x14ac:dyDescent="0.15">
      <c r="A23" s="34" t="s">
        <v>269</v>
      </c>
      <c r="B23" s="74">
        <v>3</v>
      </c>
      <c r="C23" s="74">
        <v>7</v>
      </c>
      <c r="D23" s="74">
        <v>3</v>
      </c>
      <c r="E23" s="74">
        <v>7</v>
      </c>
      <c r="F23" s="74">
        <v>7</v>
      </c>
      <c r="G23" s="74">
        <v>4</v>
      </c>
      <c r="H23" s="74">
        <v>7</v>
      </c>
      <c r="I23" s="74">
        <v>5</v>
      </c>
      <c r="J23" s="74">
        <v>4</v>
      </c>
      <c r="K23" s="74">
        <v>7</v>
      </c>
      <c r="L23" s="74">
        <v>7</v>
      </c>
      <c r="M23" s="74">
        <v>5</v>
      </c>
      <c r="N23" s="74">
        <v>6</v>
      </c>
      <c r="O23" s="74">
        <v>5</v>
      </c>
      <c r="P23" s="45">
        <f t="shared" si="0"/>
        <v>77</v>
      </c>
      <c r="Q23" s="75" t="s">
        <v>223</v>
      </c>
    </row>
    <row r="24" spans="1:17" s="26" customFormat="1" ht="69.75" x14ac:dyDescent="0.15">
      <c r="A24" s="34" t="s">
        <v>270</v>
      </c>
      <c r="B24" s="74">
        <v>6</v>
      </c>
      <c r="C24" s="74">
        <v>6</v>
      </c>
      <c r="D24" s="74">
        <v>6</v>
      </c>
      <c r="E24" s="74">
        <v>7</v>
      </c>
      <c r="F24" s="74">
        <v>5</v>
      </c>
      <c r="G24" s="74">
        <v>4</v>
      </c>
      <c r="H24" s="74">
        <v>7</v>
      </c>
      <c r="I24" s="74">
        <v>7</v>
      </c>
      <c r="J24" s="74">
        <v>7</v>
      </c>
      <c r="K24" s="74">
        <v>6</v>
      </c>
      <c r="L24" s="74">
        <v>1</v>
      </c>
      <c r="M24" s="74">
        <v>3</v>
      </c>
      <c r="N24" s="74">
        <v>7</v>
      </c>
      <c r="O24" s="74">
        <v>5</v>
      </c>
      <c r="P24" s="45">
        <f t="shared" si="0"/>
        <v>77</v>
      </c>
      <c r="Q24" s="75" t="s">
        <v>223</v>
      </c>
    </row>
    <row r="25" spans="1:17" s="26" customFormat="1" ht="46.5" x14ac:dyDescent="0.15">
      <c r="A25" s="34" t="s">
        <v>36</v>
      </c>
      <c r="B25" s="74">
        <v>6</v>
      </c>
      <c r="C25" s="74">
        <v>3</v>
      </c>
      <c r="D25" s="74">
        <v>5</v>
      </c>
      <c r="E25" s="74">
        <v>7</v>
      </c>
      <c r="F25" s="74">
        <v>3</v>
      </c>
      <c r="G25" s="74">
        <v>5</v>
      </c>
      <c r="H25" s="74">
        <v>7</v>
      </c>
      <c r="I25" s="74">
        <v>7</v>
      </c>
      <c r="J25" s="74">
        <v>7</v>
      </c>
      <c r="K25" s="74">
        <v>7</v>
      </c>
      <c r="L25" s="74">
        <v>3</v>
      </c>
      <c r="M25" s="74">
        <v>6</v>
      </c>
      <c r="N25" s="74">
        <v>6</v>
      </c>
      <c r="O25" s="74">
        <v>5</v>
      </c>
      <c r="P25" s="45">
        <f t="shared" si="0"/>
        <v>77</v>
      </c>
      <c r="Q25" s="75" t="s">
        <v>223</v>
      </c>
    </row>
    <row r="26" spans="1:17" s="26" customFormat="1" ht="35.25" x14ac:dyDescent="0.15">
      <c r="A26" s="34" t="s">
        <v>24</v>
      </c>
      <c r="B26" s="74">
        <v>4</v>
      </c>
      <c r="C26" s="74">
        <v>6</v>
      </c>
      <c r="D26" s="74">
        <v>3</v>
      </c>
      <c r="E26" s="74">
        <v>7</v>
      </c>
      <c r="F26" s="74">
        <v>7</v>
      </c>
      <c r="G26" s="74">
        <v>5</v>
      </c>
      <c r="H26" s="74">
        <v>7</v>
      </c>
      <c r="I26" s="74">
        <v>5</v>
      </c>
      <c r="J26" s="74">
        <v>7</v>
      </c>
      <c r="K26" s="74">
        <v>2</v>
      </c>
      <c r="L26" s="74">
        <v>7</v>
      </c>
      <c r="M26" s="74">
        <v>5</v>
      </c>
      <c r="N26" s="74">
        <v>7</v>
      </c>
      <c r="O26" s="74">
        <v>4</v>
      </c>
      <c r="P26" s="45">
        <f t="shared" si="0"/>
        <v>76</v>
      </c>
      <c r="Q26" s="75" t="s">
        <v>223</v>
      </c>
    </row>
    <row r="27" spans="1:17" s="26" customFormat="1" ht="46.5" x14ac:dyDescent="0.15">
      <c r="A27" s="34" t="s">
        <v>40</v>
      </c>
      <c r="B27" s="74">
        <v>6</v>
      </c>
      <c r="C27" s="74">
        <v>3</v>
      </c>
      <c r="D27" s="74">
        <v>5</v>
      </c>
      <c r="E27" s="74">
        <v>5</v>
      </c>
      <c r="F27" s="74">
        <v>7</v>
      </c>
      <c r="G27" s="74">
        <v>7</v>
      </c>
      <c r="H27" s="74">
        <v>7</v>
      </c>
      <c r="I27" s="74">
        <v>6</v>
      </c>
      <c r="J27" s="74">
        <v>4</v>
      </c>
      <c r="K27" s="74">
        <v>7</v>
      </c>
      <c r="L27" s="74">
        <v>5</v>
      </c>
      <c r="M27" s="74">
        <v>3</v>
      </c>
      <c r="N27" s="74">
        <v>6</v>
      </c>
      <c r="O27" s="74">
        <v>5</v>
      </c>
      <c r="P27" s="45">
        <f t="shared" si="0"/>
        <v>76</v>
      </c>
      <c r="Q27" s="75" t="s">
        <v>223</v>
      </c>
    </row>
    <row r="28" spans="1:17" s="26" customFormat="1" ht="46.5" x14ac:dyDescent="0.15">
      <c r="A28" s="34" t="s">
        <v>43</v>
      </c>
      <c r="B28" s="74">
        <v>2</v>
      </c>
      <c r="C28" s="74">
        <v>3</v>
      </c>
      <c r="D28" s="74">
        <v>7</v>
      </c>
      <c r="E28" s="74">
        <v>4</v>
      </c>
      <c r="F28" s="74">
        <v>7</v>
      </c>
      <c r="G28" s="74">
        <v>3</v>
      </c>
      <c r="H28" s="74">
        <v>7</v>
      </c>
      <c r="I28" s="74">
        <v>7</v>
      </c>
      <c r="J28" s="74">
        <v>7</v>
      </c>
      <c r="K28" s="74">
        <v>6</v>
      </c>
      <c r="L28" s="74">
        <v>5</v>
      </c>
      <c r="M28" s="74">
        <v>6</v>
      </c>
      <c r="N28" s="74">
        <v>6</v>
      </c>
      <c r="O28" s="74">
        <v>6</v>
      </c>
      <c r="P28" s="45">
        <f t="shared" si="0"/>
        <v>76</v>
      </c>
      <c r="Q28" s="75" t="s">
        <v>223</v>
      </c>
    </row>
    <row r="29" spans="1:17" s="26" customFormat="1" ht="46.5" x14ac:dyDescent="0.15">
      <c r="A29" s="34" t="s">
        <v>31</v>
      </c>
      <c r="B29" s="74">
        <v>5</v>
      </c>
      <c r="C29" s="74">
        <v>7</v>
      </c>
      <c r="D29" s="74">
        <v>3</v>
      </c>
      <c r="E29" s="74">
        <v>5</v>
      </c>
      <c r="F29" s="74">
        <v>5</v>
      </c>
      <c r="G29" s="74">
        <v>3</v>
      </c>
      <c r="H29" s="74">
        <v>7</v>
      </c>
      <c r="I29" s="74">
        <v>4</v>
      </c>
      <c r="J29" s="74">
        <v>7</v>
      </c>
      <c r="K29" s="74">
        <v>7</v>
      </c>
      <c r="L29" s="74">
        <v>7</v>
      </c>
      <c r="M29" s="74">
        <v>5</v>
      </c>
      <c r="N29" s="74">
        <v>5</v>
      </c>
      <c r="O29" s="74">
        <v>5</v>
      </c>
      <c r="P29" s="45">
        <f t="shared" si="0"/>
        <v>75</v>
      </c>
      <c r="Q29" s="75" t="s">
        <v>223</v>
      </c>
    </row>
    <row r="30" spans="1:17" s="26" customFormat="1" ht="93" x14ac:dyDescent="0.15">
      <c r="A30" s="34" t="s">
        <v>271</v>
      </c>
      <c r="B30" s="74">
        <v>5</v>
      </c>
      <c r="C30" s="74">
        <v>1</v>
      </c>
      <c r="D30" s="74">
        <v>4</v>
      </c>
      <c r="E30" s="74">
        <v>6</v>
      </c>
      <c r="F30" s="74">
        <v>6</v>
      </c>
      <c r="G30" s="74">
        <v>5</v>
      </c>
      <c r="H30" s="74">
        <v>7</v>
      </c>
      <c r="I30" s="74">
        <v>6</v>
      </c>
      <c r="J30" s="74">
        <v>7</v>
      </c>
      <c r="K30" s="74">
        <v>7</v>
      </c>
      <c r="L30" s="74">
        <v>1</v>
      </c>
      <c r="M30" s="74">
        <v>6</v>
      </c>
      <c r="N30" s="74">
        <v>7</v>
      </c>
      <c r="O30" s="74">
        <v>6</v>
      </c>
      <c r="P30" s="45">
        <f t="shared" si="0"/>
        <v>74</v>
      </c>
      <c r="Q30" s="75" t="s">
        <v>223</v>
      </c>
    </row>
    <row r="31" spans="1:17" s="26" customFormat="1" ht="93" x14ac:dyDescent="0.15">
      <c r="A31" s="34" t="s">
        <v>272</v>
      </c>
      <c r="B31" s="74">
        <v>7</v>
      </c>
      <c r="C31" s="74">
        <v>1</v>
      </c>
      <c r="D31" s="74">
        <v>4</v>
      </c>
      <c r="E31" s="74">
        <v>5</v>
      </c>
      <c r="F31" s="74">
        <v>6</v>
      </c>
      <c r="G31" s="74">
        <v>5</v>
      </c>
      <c r="H31" s="74">
        <v>7</v>
      </c>
      <c r="I31" s="74">
        <v>5</v>
      </c>
      <c r="J31" s="74">
        <v>7</v>
      </c>
      <c r="K31" s="74">
        <v>7</v>
      </c>
      <c r="L31" s="74">
        <v>4</v>
      </c>
      <c r="M31" s="74">
        <v>4</v>
      </c>
      <c r="N31" s="74">
        <v>7</v>
      </c>
      <c r="O31" s="74">
        <v>5</v>
      </c>
      <c r="P31" s="45">
        <f t="shared" si="0"/>
        <v>74</v>
      </c>
      <c r="Q31" s="75" t="s">
        <v>223</v>
      </c>
    </row>
    <row r="32" spans="1:17" s="26" customFormat="1" ht="46.5" x14ac:dyDescent="0.15">
      <c r="A32" s="34" t="s">
        <v>38</v>
      </c>
      <c r="B32" s="74">
        <v>7</v>
      </c>
      <c r="C32" s="74">
        <v>4</v>
      </c>
      <c r="D32" s="74">
        <v>4</v>
      </c>
      <c r="E32" s="74">
        <v>5</v>
      </c>
      <c r="F32" s="74">
        <v>5</v>
      </c>
      <c r="G32" s="74">
        <v>7</v>
      </c>
      <c r="H32" s="74">
        <v>7</v>
      </c>
      <c r="I32" s="74">
        <v>5</v>
      </c>
      <c r="J32" s="74">
        <v>7</v>
      </c>
      <c r="K32" s="74">
        <v>3</v>
      </c>
      <c r="L32" s="74">
        <v>1</v>
      </c>
      <c r="M32" s="74">
        <v>6</v>
      </c>
      <c r="N32" s="74">
        <v>6</v>
      </c>
      <c r="O32" s="74">
        <v>6</v>
      </c>
      <c r="P32" s="45">
        <f t="shared" si="0"/>
        <v>73</v>
      </c>
      <c r="Q32" s="75" t="s">
        <v>223</v>
      </c>
    </row>
    <row r="33" spans="1:17" s="26" customFormat="1" ht="58.5" x14ac:dyDescent="0.15">
      <c r="A33" s="34" t="s">
        <v>108</v>
      </c>
      <c r="B33" s="74">
        <v>6</v>
      </c>
      <c r="C33" s="74">
        <v>1</v>
      </c>
      <c r="D33" s="74">
        <v>6</v>
      </c>
      <c r="E33" s="74">
        <v>4</v>
      </c>
      <c r="F33" s="74">
        <v>6</v>
      </c>
      <c r="G33" s="74">
        <v>5</v>
      </c>
      <c r="H33" s="74">
        <v>7</v>
      </c>
      <c r="I33" s="74">
        <v>3</v>
      </c>
      <c r="J33" s="74">
        <v>7</v>
      </c>
      <c r="K33" s="74">
        <v>4</v>
      </c>
      <c r="L33" s="74">
        <v>3</v>
      </c>
      <c r="M33" s="74">
        <v>5</v>
      </c>
      <c r="N33" s="74">
        <v>7</v>
      </c>
      <c r="O33" s="74">
        <v>5</v>
      </c>
      <c r="P33" s="45">
        <f t="shared" si="0"/>
        <v>69</v>
      </c>
      <c r="Q33" s="75" t="s">
        <v>223</v>
      </c>
    </row>
    <row r="34" spans="1:17" s="26" customFormat="1" ht="24" x14ac:dyDescent="0.15">
      <c r="A34" s="34" t="s">
        <v>41</v>
      </c>
      <c r="B34" s="74">
        <v>6</v>
      </c>
      <c r="C34" s="74">
        <v>1</v>
      </c>
      <c r="D34" s="74">
        <v>3</v>
      </c>
      <c r="E34" s="74">
        <v>3</v>
      </c>
      <c r="F34" s="74">
        <v>5</v>
      </c>
      <c r="G34" s="74">
        <v>5</v>
      </c>
      <c r="H34" s="74">
        <v>5</v>
      </c>
      <c r="I34" s="74">
        <v>4</v>
      </c>
      <c r="J34" s="74">
        <v>7</v>
      </c>
      <c r="K34" s="74">
        <v>7</v>
      </c>
      <c r="L34" s="74">
        <v>7</v>
      </c>
      <c r="M34" s="74">
        <v>5</v>
      </c>
      <c r="N34" s="74">
        <v>5</v>
      </c>
      <c r="O34" s="74">
        <v>3</v>
      </c>
      <c r="P34" s="45">
        <f t="shared" si="0"/>
        <v>66</v>
      </c>
      <c r="Q34" s="75" t="s">
        <v>223</v>
      </c>
    </row>
    <row r="35" spans="1:17" s="26" customFormat="1" ht="58.5" x14ac:dyDescent="0.15">
      <c r="A35" s="34" t="s">
        <v>109</v>
      </c>
      <c r="B35" s="74">
        <v>7</v>
      </c>
      <c r="C35" s="74">
        <v>4</v>
      </c>
      <c r="D35" s="74">
        <v>4</v>
      </c>
      <c r="E35" s="74">
        <v>5</v>
      </c>
      <c r="F35" s="74">
        <v>5</v>
      </c>
      <c r="G35" s="74">
        <v>4</v>
      </c>
      <c r="H35" s="74">
        <v>7</v>
      </c>
      <c r="I35" s="74">
        <v>5</v>
      </c>
      <c r="J35" s="74">
        <v>1</v>
      </c>
      <c r="K35" s="74">
        <v>6</v>
      </c>
      <c r="L35" s="74">
        <v>1</v>
      </c>
      <c r="M35" s="74">
        <v>5</v>
      </c>
      <c r="N35" s="74">
        <v>6</v>
      </c>
      <c r="O35" s="74">
        <v>5</v>
      </c>
      <c r="P35" s="45">
        <f t="shared" si="0"/>
        <v>65</v>
      </c>
      <c r="Q35" s="75" t="s">
        <v>223</v>
      </c>
    </row>
    <row r="36" spans="1:17" s="26" customFormat="1" ht="46.5" x14ac:dyDescent="0.15">
      <c r="A36" s="34" t="s">
        <v>25</v>
      </c>
      <c r="B36" s="74">
        <v>2</v>
      </c>
      <c r="C36" s="74">
        <v>1</v>
      </c>
      <c r="D36" s="74">
        <v>1</v>
      </c>
      <c r="E36" s="74">
        <v>7</v>
      </c>
      <c r="F36" s="74">
        <v>6</v>
      </c>
      <c r="G36" s="74">
        <v>3</v>
      </c>
      <c r="H36" s="74">
        <v>6</v>
      </c>
      <c r="I36" s="74">
        <v>6</v>
      </c>
      <c r="J36" s="74">
        <v>7</v>
      </c>
      <c r="K36" s="74">
        <v>7</v>
      </c>
      <c r="L36" s="74">
        <v>4</v>
      </c>
      <c r="M36" s="74">
        <v>6</v>
      </c>
      <c r="N36" s="74">
        <v>3</v>
      </c>
      <c r="O36" s="74">
        <v>5</v>
      </c>
      <c r="P36" s="45">
        <f t="shared" si="0"/>
        <v>64</v>
      </c>
      <c r="Q36" s="75" t="s">
        <v>223</v>
      </c>
    </row>
    <row r="37" spans="1:17" s="26" customFormat="1" ht="35.25" x14ac:dyDescent="0.15">
      <c r="A37" s="34" t="s">
        <v>42</v>
      </c>
      <c r="B37" s="74">
        <v>7</v>
      </c>
      <c r="C37" s="74">
        <v>1</v>
      </c>
      <c r="D37" s="74">
        <v>4</v>
      </c>
      <c r="E37" s="74">
        <v>5</v>
      </c>
      <c r="F37" s="74">
        <v>7</v>
      </c>
      <c r="G37" s="74">
        <v>4</v>
      </c>
      <c r="H37" s="74">
        <v>7</v>
      </c>
      <c r="I37" s="74">
        <v>5</v>
      </c>
      <c r="J37" s="74">
        <v>1</v>
      </c>
      <c r="K37" s="74">
        <v>7</v>
      </c>
      <c r="L37" s="74">
        <v>1</v>
      </c>
      <c r="M37" s="74">
        <v>3</v>
      </c>
      <c r="N37" s="74">
        <v>6</v>
      </c>
      <c r="O37" s="74">
        <v>6</v>
      </c>
      <c r="P37" s="45">
        <f t="shared" si="0"/>
        <v>64</v>
      </c>
      <c r="Q37" s="75" t="s">
        <v>223</v>
      </c>
    </row>
    <row r="38" spans="1:17" s="26" customFormat="1" ht="35.25" x14ac:dyDescent="0.15">
      <c r="A38" s="34" t="s">
        <v>39</v>
      </c>
      <c r="B38" s="74">
        <v>4</v>
      </c>
      <c r="C38" s="74">
        <v>1</v>
      </c>
      <c r="D38" s="74">
        <v>4</v>
      </c>
      <c r="E38" s="74">
        <v>4</v>
      </c>
      <c r="F38" s="74">
        <v>4</v>
      </c>
      <c r="G38" s="74">
        <v>6</v>
      </c>
      <c r="H38" s="74">
        <v>6</v>
      </c>
      <c r="I38" s="74">
        <v>3</v>
      </c>
      <c r="J38" s="74">
        <v>7</v>
      </c>
      <c r="K38" s="74">
        <v>7</v>
      </c>
      <c r="L38" s="74">
        <v>4</v>
      </c>
      <c r="M38" s="74">
        <v>5</v>
      </c>
      <c r="N38" s="74">
        <v>3</v>
      </c>
      <c r="O38" s="74">
        <v>4</v>
      </c>
      <c r="P38" s="45">
        <f t="shared" si="0"/>
        <v>62</v>
      </c>
      <c r="Q38" s="75" t="s">
        <v>223</v>
      </c>
    </row>
    <row r="39" spans="1:17" s="26" customFormat="1" ht="35.25" x14ac:dyDescent="0.15">
      <c r="A39" s="34" t="s">
        <v>21</v>
      </c>
      <c r="B39" s="74">
        <v>2</v>
      </c>
      <c r="C39" s="74">
        <v>5</v>
      </c>
      <c r="D39" s="74">
        <v>5</v>
      </c>
      <c r="E39" s="74">
        <v>1</v>
      </c>
      <c r="F39" s="74">
        <v>4</v>
      </c>
      <c r="G39" s="74">
        <v>7</v>
      </c>
      <c r="H39" s="74">
        <v>7</v>
      </c>
      <c r="I39" s="74">
        <v>5</v>
      </c>
      <c r="J39" s="74">
        <v>7</v>
      </c>
      <c r="K39" s="74">
        <v>6</v>
      </c>
      <c r="L39" s="74">
        <v>1</v>
      </c>
      <c r="M39" s="74">
        <v>3</v>
      </c>
      <c r="N39" s="74">
        <v>2</v>
      </c>
      <c r="O39" s="74">
        <v>4</v>
      </c>
      <c r="P39" s="45">
        <f t="shared" si="0"/>
        <v>59</v>
      </c>
      <c r="Q39" s="75" t="s">
        <v>223</v>
      </c>
    </row>
    <row r="40" spans="1:17" s="26" customFormat="1" ht="46.5" x14ac:dyDescent="0.15">
      <c r="A40" s="34" t="s">
        <v>30</v>
      </c>
      <c r="B40" s="74">
        <v>5</v>
      </c>
      <c r="C40" s="74">
        <v>1</v>
      </c>
      <c r="D40" s="74">
        <v>4</v>
      </c>
      <c r="E40" s="74">
        <v>1</v>
      </c>
      <c r="F40" s="74">
        <v>3</v>
      </c>
      <c r="G40" s="74">
        <v>3</v>
      </c>
      <c r="H40" s="74">
        <v>7</v>
      </c>
      <c r="I40" s="74">
        <v>4</v>
      </c>
      <c r="J40" s="74">
        <v>7</v>
      </c>
      <c r="K40" s="74">
        <v>6</v>
      </c>
      <c r="L40" s="74">
        <v>1</v>
      </c>
      <c r="M40" s="74">
        <v>5</v>
      </c>
      <c r="N40" s="74">
        <v>3</v>
      </c>
      <c r="O40" s="74">
        <v>5</v>
      </c>
      <c r="P40" s="45">
        <f t="shared" si="0"/>
        <v>55</v>
      </c>
      <c r="Q40" s="75" t="s">
        <v>223</v>
      </c>
    </row>
  </sheetData>
  <autoFilter ref="Q1:Q40" xr:uid="{E1DED969-4E54-4E0A-AB0D-8254548EFDA0}"/>
  <sortState xmlns:xlrd2="http://schemas.microsoft.com/office/spreadsheetml/2017/richdata2" ref="A3:P41">
    <sortCondition descending="1" ref="P41"/>
  </sortState>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06F0-2ACB-4E91-B533-F7BA1BF54A8E}">
  <dimension ref="A1:Q29"/>
  <sheetViews>
    <sheetView topLeftCell="A12" workbookViewId="0">
      <selection activeCell="Q23" sqref="Q23"/>
    </sheetView>
  </sheetViews>
  <sheetFormatPr defaultColWidth="8.8984375" defaultRowHeight="12.75" x14ac:dyDescent="0.15"/>
  <cols>
    <col min="1" max="1" width="50.83984375" style="26" customWidth="1"/>
    <col min="2" max="15" width="8.8984375" hidden="1" customWidth="1"/>
    <col min="16" max="16" width="19.6875" bestFit="1" customWidth="1"/>
    <col min="17" max="17" width="16.71875" bestFit="1" customWidth="1"/>
  </cols>
  <sheetData>
    <row r="1" spans="1:17" ht="150" x14ac:dyDescent="0.15">
      <c r="A1" s="80" t="s">
        <v>279</v>
      </c>
      <c r="B1" s="18"/>
      <c r="C1" s="18"/>
      <c r="D1" s="18"/>
      <c r="E1" s="18"/>
      <c r="F1" s="18"/>
      <c r="G1" s="18"/>
      <c r="H1" s="18"/>
      <c r="I1" s="18"/>
      <c r="J1" s="18"/>
      <c r="K1" s="18"/>
      <c r="L1" s="18"/>
      <c r="M1" s="18"/>
      <c r="N1" s="18"/>
      <c r="O1" s="18"/>
      <c r="P1" s="50" t="s">
        <v>224</v>
      </c>
      <c r="Q1" s="50" t="s">
        <v>225</v>
      </c>
    </row>
    <row r="2" spans="1:17" ht="58.5" x14ac:dyDescent="0.15">
      <c r="A2" s="34" t="s">
        <v>53</v>
      </c>
      <c r="B2" s="76">
        <v>7</v>
      </c>
      <c r="C2" s="76">
        <v>5</v>
      </c>
      <c r="D2" s="76">
        <v>7</v>
      </c>
      <c r="E2" s="76">
        <v>7</v>
      </c>
      <c r="F2" s="76">
        <v>6</v>
      </c>
      <c r="G2" s="76">
        <v>7</v>
      </c>
      <c r="H2" s="76">
        <v>7</v>
      </c>
      <c r="I2" s="76">
        <v>7</v>
      </c>
      <c r="J2" s="76">
        <v>7</v>
      </c>
      <c r="K2" s="76">
        <v>6</v>
      </c>
      <c r="L2" s="76">
        <v>7</v>
      </c>
      <c r="M2" s="76">
        <v>6</v>
      </c>
      <c r="N2" s="76">
        <v>7</v>
      </c>
      <c r="O2" s="76">
        <v>6</v>
      </c>
      <c r="P2" s="39">
        <f t="shared" ref="P2:P28" si="0">SUM(B2:O2)</f>
        <v>92</v>
      </c>
      <c r="Q2" s="57" t="s">
        <v>222</v>
      </c>
    </row>
    <row r="3" spans="1:17" ht="81" x14ac:dyDescent="0.15">
      <c r="A3" s="34" t="s">
        <v>59</v>
      </c>
      <c r="B3" s="76">
        <v>7</v>
      </c>
      <c r="C3" s="76">
        <v>6</v>
      </c>
      <c r="D3" s="76">
        <v>7</v>
      </c>
      <c r="E3" s="76">
        <v>7</v>
      </c>
      <c r="F3" s="76">
        <v>5</v>
      </c>
      <c r="G3" s="76">
        <v>7</v>
      </c>
      <c r="H3" s="76">
        <v>7</v>
      </c>
      <c r="I3" s="76">
        <v>7</v>
      </c>
      <c r="J3" s="76">
        <v>7</v>
      </c>
      <c r="K3" s="76">
        <v>7</v>
      </c>
      <c r="L3" s="76">
        <v>5</v>
      </c>
      <c r="M3" s="76">
        <v>6</v>
      </c>
      <c r="N3" s="76">
        <v>6</v>
      </c>
      <c r="O3" s="76">
        <v>6</v>
      </c>
      <c r="P3" s="39">
        <f t="shared" si="0"/>
        <v>90</v>
      </c>
      <c r="Q3" s="57" t="s">
        <v>222</v>
      </c>
    </row>
    <row r="4" spans="1:17" ht="46.5" x14ac:dyDescent="0.15">
      <c r="A4" s="34" t="s">
        <v>64</v>
      </c>
      <c r="B4" s="76">
        <v>6</v>
      </c>
      <c r="C4" s="76">
        <v>6</v>
      </c>
      <c r="D4" s="76">
        <v>7</v>
      </c>
      <c r="E4" s="76">
        <v>7</v>
      </c>
      <c r="F4" s="76">
        <v>6</v>
      </c>
      <c r="G4" s="76">
        <v>6</v>
      </c>
      <c r="H4" s="76">
        <v>7</v>
      </c>
      <c r="I4" s="76">
        <v>7</v>
      </c>
      <c r="J4" s="76">
        <v>7</v>
      </c>
      <c r="K4" s="76">
        <v>7</v>
      </c>
      <c r="L4" s="76">
        <v>7</v>
      </c>
      <c r="M4" s="76">
        <v>6</v>
      </c>
      <c r="N4" s="76">
        <v>5</v>
      </c>
      <c r="O4" s="76">
        <v>6</v>
      </c>
      <c r="P4" s="39">
        <f t="shared" si="0"/>
        <v>90</v>
      </c>
      <c r="Q4" s="57" t="s">
        <v>222</v>
      </c>
    </row>
    <row r="5" spans="1:17" ht="81" x14ac:dyDescent="0.15">
      <c r="A5" s="34" t="s">
        <v>121</v>
      </c>
      <c r="B5" s="76">
        <v>7</v>
      </c>
      <c r="C5" s="76">
        <v>5</v>
      </c>
      <c r="D5" s="76">
        <v>6</v>
      </c>
      <c r="E5" s="76">
        <v>7</v>
      </c>
      <c r="F5" s="76">
        <v>4</v>
      </c>
      <c r="G5" s="76">
        <v>7</v>
      </c>
      <c r="H5" s="76">
        <v>7</v>
      </c>
      <c r="I5" s="76">
        <v>6</v>
      </c>
      <c r="J5" s="76">
        <v>7</v>
      </c>
      <c r="K5" s="76">
        <v>7</v>
      </c>
      <c r="L5" s="76">
        <v>7</v>
      </c>
      <c r="M5" s="76">
        <v>4</v>
      </c>
      <c r="N5" s="76">
        <v>7</v>
      </c>
      <c r="O5" s="76">
        <v>6</v>
      </c>
      <c r="P5" s="39">
        <f t="shared" si="0"/>
        <v>87</v>
      </c>
      <c r="Q5" s="57" t="s">
        <v>222</v>
      </c>
    </row>
    <row r="6" spans="1:17" ht="46.5" x14ac:dyDescent="0.15">
      <c r="A6" s="34" t="s">
        <v>63</v>
      </c>
      <c r="B6" s="76">
        <v>7</v>
      </c>
      <c r="C6" s="76">
        <v>6</v>
      </c>
      <c r="D6" s="76">
        <v>7</v>
      </c>
      <c r="E6" s="76">
        <v>7</v>
      </c>
      <c r="F6" s="76">
        <v>5</v>
      </c>
      <c r="G6" s="76">
        <v>7</v>
      </c>
      <c r="H6" s="76">
        <v>7</v>
      </c>
      <c r="I6" s="76">
        <v>5</v>
      </c>
      <c r="J6" s="76">
        <v>7</v>
      </c>
      <c r="K6" s="76">
        <v>6</v>
      </c>
      <c r="L6" s="76">
        <v>5</v>
      </c>
      <c r="M6" s="76">
        <v>5</v>
      </c>
      <c r="N6" s="76">
        <v>6</v>
      </c>
      <c r="O6" s="76">
        <v>6</v>
      </c>
      <c r="P6" s="39">
        <f t="shared" si="0"/>
        <v>86</v>
      </c>
      <c r="Q6" s="57" t="s">
        <v>222</v>
      </c>
    </row>
    <row r="7" spans="1:17" ht="58.5" x14ac:dyDescent="0.15">
      <c r="A7" s="34" t="s">
        <v>54</v>
      </c>
      <c r="B7" s="76">
        <v>6</v>
      </c>
      <c r="C7" s="76">
        <v>5</v>
      </c>
      <c r="D7" s="76">
        <v>7</v>
      </c>
      <c r="E7" s="76">
        <v>6</v>
      </c>
      <c r="F7" s="76">
        <v>5</v>
      </c>
      <c r="G7" s="76">
        <v>7</v>
      </c>
      <c r="H7" s="76">
        <v>7</v>
      </c>
      <c r="I7" s="76">
        <v>7</v>
      </c>
      <c r="J7" s="76">
        <v>7</v>
      </c>
      <c r="K7" s="76">
        <v>6</v>
      </c>
      <c r="L7" s="76">
        <v>5</v>
      </c>
      <c r="M7" s="76">
        <v>5</v>
      </c>
      <c r="N7" s="76">
        <v>6</v>
      </c>
      <c r="O7" s="76">
        <v>6</v>
      </c>
      <c r="P7" s="39">
        <f t="shared" si="0"/>
        <v>85</v>
      </c>
      <c r="Q7" s="57" t="s">
        <v>222</v>
      </c>
    </row>
    <row r="8" spans="1:17" ht="46.5" x14ac:dyDescent="0.15">
      <c r="A8" s="34" t="s">
        <v>60</v>
      </c>
      <c r="B8" s="76">
        <v>5</v>
      </c>
      <c r="C8" s="76">
        <v>5</v>
      </c>
      <c r="D8" s="76">
        <v>7</v>
      </c>
      <c r="E8" s="76">
        <v>6</v>
      </c>
      <c r="F8" s="76">
        <v>6</v>
      </c>
      <c r="G8" s="76">
        <v>5</v>
      </c>
      <c r="H8" s="76">
        <v>7</v>
      </c>
      <c r="I8" s="76">
        <v>6</v>
      </c>
      <c r="J8" s="76">
        <v>7</v>
      </c>
      <c r="K8" s="76">
        <v>6</v>
      </c>
      <c r="L8" s="76">
        <v>7</v>
      </c>
      <c r="M8" s="76">
        <v>6</v>
      </c>
      <c r="N8" s="76">
        <v>6</v>
      </c>
      <c r="O8" s="76">
        <v>6</v>
      </c>
      <c r="P8" s="39">
        <f t="shared" si="0"/>
        <v>85</v>
      </c>
      <c r="Q8" s="57" t="s">
        <v>222</v>
      </c>
    </row>
    <row r="9" spans="1:17" ht="35.25" x14ac:dyDescent="0.15">
      <c r="A9" s="34" t="s">
        <v>62</v>
      </c>
      <c r="B9" s="76">
        <v>6</v>
      </c>
      <c r="C9" s="76">
        <v>5</v>
      </c>
      <c r="D9" s="76">
        <v>7</v>
      </c>
      <c r="E9" s="76">
        <v>7</v>
      </c>
      <c r="F9" s="76">
        <v>5</v>
      </c>
      <c r="G9" s="76">
        <v>7</v>
      </c>
      <c r="H9" s="76">
        <v>7</v>
      </c>
      <c r="I9" s="76">
        <v>5</v>
      </c>
      <c r="J9" s="76">
        <v>7</v>
      </c>
      <c r="K9" s="76">
        <v>6</v>
      </c>
      <c r="L9" s="76">
        <v>5</v>
      </c>
      <c r="M9" s="76">
        <v>6</v>
      </c>
      <c r="N9" s="76">
        <v>6</v>
      </c>
      <c r="O9" s="76">
        <v>6</v>
      </c>
      <c r="P9" s="39">
        <f t="shared" si="0"/>
        <v>85</v>
      </c>
      <c r="Q9" s="57" t="s">
        <v>222</v>
      </c>
    </row>
    <row r="10" spans="1:17" ht="93" x14ac:dyDescent="0.15">
      <c r="A10" s="34" t="s">
        <v>140</v>
      </c>
      <c r="B10" s="76">
        <v>7</v>
      </c>
      <c r="C10" s="76">
        <v>5</v>
      </c>
      <c r="D10" s="76">
        <v>5</v>
      </c>
      <c r="E10" s="76">
        <v>7</v>
      </c>
      <c r="F10" s="76">
        <v>3</v>
      </c>
      <c r="G10" s="76">
        <v>7</v>
      </c>
      <c r="H10" s="76">
        <v>7</v>
      </c>
      <c r="I10" s="76">
        <v>7</v>
      </c>
      <c r="J10" s="76">
        <v>7</v>
      </c>
      <c r="K10" s="76">
        <v>7</v>
      </c>
      <c r="L10" s="76">
        <v>6</v>
      </c>
      <c r="M10" s="76">
        <v>4</v>
      </c>
      <c r="N10" s="76">
        <v>7</v>
      </c>
      <c r="O10" s="76">
        <v>5</v>
      </c>
      <c r="P10" s="39">
        <f t="shared" si="0"/>
        <v>84</v>
      </c>
      <c r="Q10" s="57" t="s">
        <v>222</v>
      </c>
    </row>
    <row r="11" spans="1:17" ht="138.75" x14ac:dyDescent="0.15">
      <c r="A11" s="34" t="s">
        <v>123</v>
      </c>
      <c r="B11" s="76">
        <v>7</v>
      </c>
      <c r="C11" s="76">
        <v>6</v>
      </c>
      <c r="D11" s="76">
        <v>7</v>
      </c>
      <c r="E11" s="76">
        <v>7</v>
      </c>
      <c r="F11" s="76">
        <v>2</v>
      </c>
      <c r="G11" s="76">
        <v>5</v>
      </c>
      <c r="H11" s="76">
        <v>7</v>
      </c>
      <c r="I11" s="76">
        <v>5</v>
      </c>
      <c r="J11" s="76">
        <v>7</v>
      </c>
      <c r="K11" s="76">
        <v>7</v>
      </c>
      <c r="L11" s="76">
        <v>6</v>
      </c>
      <c r="M11" s="76">
        <v>5</v>
      </c>
      <c r="N11" s="76">
        <v>7</v>
      </c>
      <c r="O11" s="76">
        <v>5</v>
      </c>
      <c r="P11" s="39">
        <f t="shared" si="0"/>
        <v>83</v>
      </c>
      <c r="Q11" s="57" t="s">
        <v>222</v>
      </c>
    </row>
    <row r="12" spans="1:17" ht="35.25" x14ac:dyDescent="0.15">
      <c r="A12" s="34" t="s">
        <v>51</v>
      </c>
      <c r="B12" s="76">
        <v>7</v>
      </c>
      <c r="C12" s="76">
        <v>7</v>
      </c>
      <c r="D12" s="76">
        <v>5</v>
      </c>
      <c r="E12" s="76">
        <v>7</v>
      </c>
      <c r="F12" s="76">
        <v>5</v>
      </c>
      <c r="G12" s="76">
        <v>6</v>
      </c>
      <c r="H12" s="76">
        <v>5</v>
      </c>
      <c r="I12" s="76">
        <v>6</v>
      </c>
      <c r="J12" s="76">
        <v>7</v>
      </c>
      <c r="K12" s="76">
        <v>6</v>
      </c>
      <c r="L12" s="76">
        <v>4</v>
      </c>
      <c r="M12" s="76">
        <v>6</v>
      </c>
      <c r="N12" s="76">
        <v>5</v>
      </c>
      <c r="O12" s="76">
        <v>5</v>
      </c>
      <c r="P12" s="39">
        <f t="shared" si="0"/>
        <v>81</v>
      </c>
      <c r="Q12" s="57" t="s">
        <v>222</v>
      </c>
    </row>
    <row r="13" spans="1:17" ht="46.5" x14ac:dyDescent="0.15">
      <c r="A13" s="34" t="s">
        <v>61</v>
      </c>
      <c r="B13" s="76">
        <v>3</v>
      </c>
      <c r="C13" s="76">
        <v>5</v>
      </c>
      <c r="D13" s="76">
        <v>7</v>
      </c>
      <c r="E13" s="76">
        <v>7</v>
      </c>
      <c r="F13" s="76">
        <v>5</v>
      </c>
      <c r="G13" s="76">
        <v>5</v>
      </c>
      <c r="H13" s="76">
        <v>7</v>
      </c>
      <c r="I13" s="76">
        <v>6</v>
      </c>
      <c r="J13" s="76">
        <v>7</v>
      </c>
      <c r="K13" s="76">
        <v>6</v>
      </c>
      <c r="L13" s="76">
        <v>5</v>
      </c>
      <c r="M13" s="76">
        <v>6</v>
      </c>
      <c r="N13" s="76">
        <v>6</v>
      </c>
      <c r="O13" s="76">
        <v>6</v>
      </c>
      <c r="P13" s="39">
        <f t="shared" si="0"/>
        <v>81</v>
      </c>
      <c r="Q13" s="57" t="s">
        <v>223</v>
      </c>
    </row>
    <row r="14" spans="1:17" ht="46.5" x14ac:dyDescent="0.15">
      <c r="A14" s="34" t="s">
        <v>58</v>
      </c>
      <c r="B14" s="76">
        <v>7</v>
      </c>
      <c r="C14" s="76">
        <v>5</v>
      </c>
      <c r="D14" s="76">
        <v>7</v>
      </c>
      <c r="E14" s="76">
        <v>7</v>
      </c>
      <c r="F14" s="76">
        <v>5</v>
      </c>
      <c r="G14" s="76">
        <v>5</v>
      </c>
      <c r="H14" s="76">
        <v>7</v>
      </c>
      <c r="I14" s="76">
        <v>6</v>
      </c>
      <c r="J14" s="76">
        <v>7</v>
      </c>
      <c r="K14" s="76">
        <v>7</v>
      </c>
      <c r="L14" s="76">
        <v>5</v>
      </c>
      <c r="M14" s="76">
        <v>5</v>
      </c>
      <c r="N14" s="76">
        <v>2</v>
      </c>
      <c r="O14" s="76">
        <v>5</v>
      </c>
      <c r="P14" s="39">
        <f t="shared" si="0"/>
        <v>80</v>
      </c>
      <c r="Q14" s="57" t="s">
        <v>223</v>
      </c>
    </row>
    <row r="15" spans="1:17" ht="35.25" x14ac:dyDescent="0.15">
      <c r="A15" s="34" t="s">
        <v>65</v>
      </c>
      <c r="B15" s="76">
        <v>5</v>
      </c>
      <c r="C15" s="76">
        <v>7</v>
      </c>
      <c r="D15" s="76">
        <v>7</v>
      </c>
      <c r="E15" s="76">
        <v>5</v>
      </c>
      <c r="F15" s="76">
        <v>6</v>
      </c>
      <c r="G15" s="76">
        <v>4</v>
      </c>
      <c r="H15" s="76">
        <v>7</v>
      </c>
      <c r="I15" s="76">
        <v>6</v>
      </c>
      <c r="J15" s="76">
        <v>7</v>
      </c>
      <c r="K15" s="76">
        <v>7</v>
      </c>
      <c r="L15" s="76">
        <v>1</v>
      </c>
      <c r="M15" s="76">
        <v>6</v>
      </c>
      <c r="N15" s="76">
        <v>6</v>
      </c>
      <c r="O15" s="76">
        <v>6</v>
      </c>
      <c r="P15" s="39">
        <f t="shared" si="0"/>
        <v>80</v>
      </c>
      <c r="Q15" s="57" t="s">
        <v>223</v>
      </c>
    </row>
    <row r="16" spans="1:17" ht="81" x14ac:dyDescent="0.15">
      <c r="A16" s="34" t="s">
        <v>45</v>
      </c>
      <c r="B16" s="76">
        <v>7</v>
      </c>
      <c r="C16" s="76">
        <v>5</v>
      </c>
      <c r="D16" s="76">
        <v>4</v>
      </c>
      <c r="E16" s="76">
        <v>6</v>
      </c>
      <c r="F16" s="76">
        <v>5</v>
      </c>
      <c r="G16" s="76">
        <v>7</v>
      </c>
      <c r="H16" s="76">
        <v>5</v>
      </c>
      <c r="I16" s="76">
        <v>7</v>
      </c>
      <c r="J16" s="76">
        <v>7</v>
      </c>
      <c r="K16" s="76">
        <v>7</v>
      </c>
      <c r="L16" s="76">
        <v>1</v>
      </c>
      <c r="M16" s="76">
        <v>5</v>
      </c>
      <c r="N16" s="76">
        <v>7</v>
      </c>
      <c r="O16" s="76">
        <v>6</v>
      </c>
      <c r="P16" s="39">
        <f t="shared" si="0"/>
        <v>79</v>
      </c>
      <c r="Q16" s="57" t="s">
        <v>223</v>
      </c>
    </row>
    <row r="17" spans="1:17" ht="46.5" x14ac:dyDescent="0.15">
      <c r="A17" s="34" t="s">
        <v>56</v>
      </c>
      <c r="B17" s="76">
        <v>4</v>
      </c>
      <c r="C17" s="76">
        <v>7</v>
      </c>
      <c r="D17" s="76">
        <v>7</v>
      </c>
      <c r="E17" s="76">
        <v>6</v>
      </c>
      <c r="F17" s="76">
        <v>5</v>
      </c>
      <c r="G17" s="76">
        <v>6</v>
      </c>
      <c r="H17" s="76">
        <v>7</v>
      </c>
      <c r="I17" s="76">
        <v>5</v>
      </c>
      <c r="J17" s="76">
        <v>7</v>
      </c>
      <c r="K17" s="76">
        <v>4</v>
      </c>
      <c r="L17" s="76">
        <v>6</v>
      </c>
      <c r="M17" s="76">
        <v>3</v>
      </c>
      <c r="N17" s="76">
        <v>5</v>
      </c>
      <c r="O17" s="76">
        <v>6</v>
      </c>
      <c r="P17" s="39">
        <f t="shared" si="0"/>
        <v>78</v>
      </c>
      <c r="Q17" s="57" t="s">
        <v>223</v>
      </c>
    </row>
    <row r="18" spans="1:17" ht="46.5" x14ac:dyDescent="0.15">
      <c r="A18" s="34" t="s">
        <v>1</v>
      </c>
      <c r="B18" s="76">
        <v>1</v>
      </c>
      <c r="C18" s="76">
        <v>7</v>
      </c>
      <c r="D18" s="76">
        <v>7</v>
      </c>
      <c r="E18" s="76">
        <v>6</v>
      </c>
      <c r="F18" s="76">
        <v>5</v>
      </c>
      <c r="G18" s="76">
        <v>4</v>
      </c>
      <c r="H18" s="76">
        <v>7</v>
      </c>
      <c r="I18" s="76">
        <v>7</v>
      </c>
      <c r="J18" s="76">
        <v>7</v>
      </c>
      <c r="K18" s="76">
        <v>7</v>
      </c>
      <c r="L18" s="76">
        <v>7</v>
      </c>
      <c r="M18" s="76">
        <v>6</v>
      </c>
      <c r="N18" s="76">
        <v>3</v>
      </c>
      <c r="O18" s="76">
        <v>4</v>
      </c>
      <c r="P18" s="39">
        <f t="shared" si="0"/>
        <v>78</v>
      </c>
      <c r="Q18" s="57" t="s">
        <v>223</v>
      </c>
    </row>
    <row r="19" spans="1:17" ht="69.75" x14ac:dyDescent="0.15">
      <c r="A19" s="34" t="s">
        <v>46</v>
      </c>
      <c r="B19" s="76">
        <v>6</v>
      </c>
      <c r="C19" s="76">
        <v>5</v>
      </c>
      <c r="D19" s="76">
        <v>4</v>
      </c>
      <c r="E19" s="76">
        <v>5</v>
      </c>
      <c r="F19" s="76">
        <v>4</v>
      </c>
      <c r="G19" s="76">
        <v>7</v>
      </c>
      <c r="H19" s="76">
        <v>5</v>
      </c>
      <c r="I19" s="76">
        <v>5</v>
      </c>
      <c r="J19" s="76">
        <v>7</v>
      </c>
      <c r="K19" s="76">
        <v>6</v>
      </c>
      <c r="L19" s="76">
        <v>7</v>
      </c>
      <c r="M19" s="76">
        <v>4</v>
      </c>
      <c r="N19" s="76">
        <v>6</v>
      </c>
      <c r="O19" s="76">
        <v>6</v>
      </c>
      <c r="P19" s="39">
        <f t="shared" si="0"/>
        <v>77</v>
      </c>
      <c r="Q19" s="57" t="s">
        <v>223</v>
      </c>
    </row>
    <row r="20" spans="1:17" ht="46.5" x14ac:dyDescent="0.15">
      <c r="A20" s="34" t="s">
        <v>49</v>
      </c>
      <c r="B20" s="76">
        <v>1</v>
      </c>
      <c r="C20" s="76">
        <v>6</v>
      </c>
      <c r="D20" s="76">
        <v>7</v>
      </c>
      <c r="E20" s="76">
        <v>7</v>
      </c>
      <c r="F20" s="76">
        <v>7</v>
      </c>
      <c r="G20" s="76">
        <v>6</v>
      </c>
      <c r="H20" s="76">
        <v>7</v>
      </c>
      <c r="I20" s="76">
        <v>5</v>
      </c>
      <c r="J20" s="76">
        <v>7</v>
      </c>
      <c r="K20" s="76">
        <v>6</v>
      </c>
      <c r="L20" s="76">
        <v>1</v>
      </c>
      <c r="M20" s="76">
        <v>5</v>
      </c>
      <c r="N20" s="76">
        <v>7</v>
      </c>
      <c r="O20" s="76">
        <v>4</v>
      </c>
      <c r="P20" s="39">
        <f t="shared" si="0"/>
        <v>76</v>
      </c>
      <c r="Q20" s="57" t="s">
        <v>223</v>
      </c>
    </row>
    <row r="21" spans="1:17" ht="58.5" x14ac:dyDescent="0.15">
      <c r="A21" s="34" t="s">
        <v>55</v>
      </c>
      <c r="B21" s="76">
        <v>7</v>
      </c>
      <c r="C21" s="76">
        <v>5</v>
      </c>
      <c r="D21" s="76">
        <v>7</v>
      </c>
      <c r="E21" s="76">
        <v>6</v>
      </c>
      <c r="F21" s="76">
        <v>3</v>
      </c>
      <c r="G21" s="76">
        <v>6</v>
      </c>
      <c r="H21" s="76">
        <v>7</v>
      </c>
      <c r="I21" s="76">
        <v>7</v>
      </c>
      <c r="J21" s="76">
        <v>7</v>
      </c>
      <c r="K21" s="76">
        <v>5</v>
      </c>
      <c r="L21" s="76">
        <v>1</v>
      </c>
      <c r="M21" s="76">
        <v>4</v>
      </c>
      <c r="N21" s="76">
        <v>6</v>
      </c>
      <c r="O21" s="76">
        <v>5</v>
      </c>
      <c r="P21" s="39">
        <f t="shared" si="0"/>
        <v>76</v>
      </c>
      <c r="Q21" s="57" t="s">
        <v>223</v>
      </c>
    </row>
    <row r="22" spans="1:17" ht="46.5" x14ac:dyDescent="0.15">
      <c r="A22" s="34" t="s">
        <v>44</v>
      </c>
      <c r="B22" s="76">
        <v>1</v>
      </c>
      <c r="C22" s="76">
        <v>7</v>
      </c>
      <c r="D22" s="76">
        <v>7</v>
      </c>
      <c r="E22" s="76">
        <v>7</v>
      </c>
      <c r="F22" s="76">
        <v>6</v>
      </c>
      <c r="G22" s="76">
        <v>4</v>
      </c>
      <c r="H22" s="76">
        <v>7</v>
      </c>
      <c r="I22" s="76">
        <v>6</v>
      </c>
      <c r="J22" s="76">
        <v>7</v>
      </c>
      <c r="K22" s="76">
        <v>7</v>
      </c>
      <c r="L22" s="76">
        <v>5</v>
      </c>
      <c r="M22" s="76">
        <v>5</v>
      </c>
      <c r="N22" s="76">
        <v>2</v>
      </c>
      <c r="O22" s="76">
        <v>4</v>
      </c>
      <c r="P22" s="39">
        <f t="shared" si="0"/>
        <v>75</v>
      </c>
      <c r="Q22" s="57" t="s">
        <v>223</v>
      </c>
    </row>
    <row r="23" spans="1:17" ht="46.5" x14ac:dyDescent="0.15">
      <c r="A23" s="34" t="s">
        <v>50</v>
      </c>
      <c r="B23" s="76">
        <v>2</v>
      </c>
      <c r="C23" s="76">
        <v>5</v>
      </c>
      <c r="D23" s="76">
        <v>7</v>
      </c>
      <c r="E23" s="76">
        <v>5</v>
      </c>
      <c r="F23" s="76">
        <v>4</v>
      </c>
      <c r="G23" s="76">
        <v>4</v>
      </c>
      <c r="H23" s="76">
        <v>7</v>
      </c>
      <c r="I23" s="76">
        <v>7</v>
      </c>
      <c r="J23" s="76">
        <v>7</v>
      </c>
      <c r="K23" s="76">
        <v>6</v>
      </c>
      <c r="L23" s="76">
        <v>1</v>
      </c>
      <c r="M23" s="76">
        <v>6</v>
      </c>
      <c r="N23" s="76">
        <v>3</v>
      </c>
      <c r="O23" s="76">
        <v>5</v>
      </c>
      <c r="P23" s="39">
        <f t="shared" si="0"/>
        <v>69</v>
      </c>
      <c r="Q23" s="57" t="s">
        <v>223</v>
      </c>
    </row>
    <row r="24" spans="1:17" ht="35.25" x14ac:dyDescent="0.15">
      <c r="A24" s="34" t="s">
        <v>48</v>
      </c>
      <c r="B24" s="76">
        <v>1</v>
      </c>
      <c r="C24" s="76">
        <v>5</v>
      </c>
      <c r="D24" s="76">
        <v>5</v>
      </c>
      <c r="E24" s="76">
        <v>3</v>
      </c>
      <c r="F24" s="76">
        <v>5</v>
      </c>
      <c r="G24" s="76">
        <v>7</v>
      </c>
      <c r="H24" s="76">
        <v>6</v>
      </c>
      <c r="I24" s="76">
        <v>5</v>
      </c>
      <c r="J24" s="76">
        <v>7</v>
      </c>
      <c r="K24" s="76">
        <v>6</v>
      </c>
      <c r="L24" s="76">
        <v>1</v>
      </c>
      <c r="M24" s="76">
        <v>4</v>
      </c>
      <c r="N24" s="76">
        <v>7</v>
      </c>
      <c r="O24" s="76">
        <v>4</v>
      </c>
      <c r="P24" s="39">
        <f t="shared" si="0"/>
        <v>66</v>
      </c>
      <c r="Q24" s="57" t="s">
        <v>223</v>
      </c>
    </row>
    <row r="25" spans="1:17" ht="35.25" x14ac:dyDescent="0.15">
      <c r="A25" s="34" t="s">
        <v>47</v>
      </c>
      <c r="B25" s="76">
        <v>6</v>
      </c>
      <c r="C25" s="76">
        <v>1</v>
      </c>
      <c r="D25" s="76">
        <v>4</v>
      </c>
      <c r="E25" s="76">
        <v>5</v>
      </c>
      <c r="F25" s="76">
        <v>3</v>
      </c>
      <c r="G25" s="76">
        <v>5</v>
      </c>
      <c r="H25" s="76">
        <v>6</v>
      </c>
      <c r="I25" s="76">
        <v>5</v>
      </c>
      <c r="J25" s="76">
        <v>7</v>
      </c>
      <c r="K25" s="76">
        <v>5</v>
      </c>
      <c r="L25" s="76">
        <v>4</v>
      </c>
      <c r="M25" s="76">
        <v>4</v>
      </c>
      <c r="N25" s="76">
        <v>3</v>
      </c>
      <c r="O25" s="76">
        <v>5</v>
      </c>
      <c r="P25" s="39">
        <f t="shared" si="0"/>
        <v>63</v>
      </c>
      <c r="Q25" s="57" t="s">
        <v>223</v>
      </c>
    </row>
    <row r="26" spans="1:17" ht="81" x14ac:dyDescent="0.15">
      <c r="A26" s="34" t="s">
        <v>120</v>
      </c>
      <c r="B26" s="76">
        <v>7</v>
      </c>
      <c r="C26" s="76">
        <v>1</v>
      </c>
      <c r="D26" s="76">
        <v>2</v>
      </c>
      <c r="E26" s="76">
        <v>2</v>
      </c>
      <c r="F26" s="76">
        <v>5</v>
      </c>
      <c r="G26" s="76">
        <v>7</v>
      </c>
      <c r="H26" s="76">
        <v>6</v>
      </c>
      <c r="I26" s="76">
        <v>3</v>
      </c>
      <c r="J26" s="76">
        <v>7</v>
      </c>
      <c r="K26" s="76">
        <v>7</v>
      </c>
      <c r="L26" s="76">
        <v>1</v>
      </c>
      <c r="M26" s="76">
        <v>4</v>
      </c>
      <c r="N26" s="76">
        <v>3</v>
      </c>
      <c r="O26" s="76">
        <v>6</v>
      </c>
      <c r="P26" s="39">
        <f t="shared" si="0"/>
        <v>61</v>
      </c>
      <c r="Q26" s="57" t="s">
        <v>223</v>
      </c>
    </row>
    <row r="27" spans="1:17" ht="46.5" x14ac:dyDescent="0.15">
      <c r="A27" s="34" t="s">
        <v>52</v>
      </c>
      <c r="B27" s="76">
        <v>7</v>
      </c>
      <c r="C27" s="76">
        <v>3</v>
      </c>
      <c r="D27" s="76">
        <v>5</v>
      </c>
      <c r="E27" s="76">
        <v>2</v>
      </c>
      <c r="F27" s="76">
        <v>3</v>
      </c>
      <c r="G27" s="76">
        <v>3</v>
      </c>
      <c r="H27" s="76">
        <v>7</v>
      </c>
      <c r="I27" s="76">
        <v>6</v>
      </c>
      <c r="J27" s="76">
        <v>7</v>
      </c>
      <c r="K27" s="76">
        <v>5</v>
      </c>
      <c r="L27" s="76">
        <v>1</v>
      </c>
      <c r="M27" s="76">
        <v>5</v>
      </c>
      <c r="N27" s="76">
        <v>2</v>
      </c>
      <c r="O27" s="76">
        <v>5</v>
      </c>
      <c r="P27" s="39">
        <f t="shared" si="0"/>
        <v>61</v>
      </c>
      <c r="Q27" s="57" t="s">
        <v>223</v>
      </c>
    </row>
    <row r="28" spans="1:17" ht="35.25" x14ac:dyDescent="0.15">
      <c r="A28" s="34" t="s">
        <v>57</v>
      </c>
      <c r="B28" s="76">
        <v>3</v>
      </c>
      <c r="C28" s="76">
        <v>1</v>
      </c>
      <c r="D28" s="76">
        <v>7</v>
      </c>
      <c r="E28" s="76">
        <v>4</v>
      </c>
      <c r="F28" s="76">
        <v>5</v>
      </c>
      <c r="G28" s="76">
        <v>4</v>
      </c>
      <c r="H28" s="76">
        <v>6</v>
      </c>
      <c r="I28" s="76">
        <v>5</v>
      </c>
      <c r="J28" s="76">
        <v>7</v>
      </c>
      <c r="K28" s="76">
        <v>5</v>
      </c>
      <c r="L28" s="76">
        <v>1</v>
      </c>
      <c r="M28" s="76">
        <v>5</v>
      </c>
      <c r="N28" s="76">
        <v>2</v>
      </c>
      <c r="O28" s="76">
        <v>5</v>
      </c>
      <c r="P28" s="39">
        <f t="shared" si="0"/>
        <v>60</v>
      </c>
      <c r="Q28" s="57" t="s">
        <v>223</v>
      </c>
    </row>
    <row r="29" spans="1:17" x14ac:dyDescent="0.15">
      <c r="P29" s="36"/>
      <c r="Q29" s="36"/>
    </row>
  </sheetData>
  <autoFilter ref="Q1:Q28" xr:uid="{239D06F0-2ACB-4E91-B533-F7BA1BF54A8E}"/>
  <sortState xmlns:xlrd2="http://schemas.microsoft.com/office/spreadsheetml/2017/richdata2" ref="A2:P28">
    <sortCondition descending="1" ref="P2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B458D-3D23-434B-B2A1-3C22C6672598}">
  <dimension ref="A1:Q21"/>
  <sheetViews>
    <sheetView workbookViewId="0">
      <selection activeCell="T4" sqref="T1:T4"/>
    </sheetView>
  </sheetViews>
  <sheetFormatPr defaultColWidth="8.8984375" defaultRowHeight="12.75" x14ac:dyDescent="0.15"/>
  <cols>
    <col min="1" max="1" width="50.83984375" style="26" customWidth="1"/>
    <col min="2" max="15" width="8.8984375" hidden="1" customWidth="1"/>
    <col min="16" max="16" width="19.6875" bestFit="1" customWidth="1"/>
    <col min="17" max="17" width="16.71875" bestFit="1" customWidth="1"/>
  </cols>
  <sheetData>
    <row r="1" spans="1:17" ht="196.5" x14ac:dyDescent="0.15">
      <c r="A1" s="51" t="s">
        <v>280</v>
      </c>
      <c r="B1" s="18"/>
      <c r="C1" s="18"/>
      <c r="D1" s="18"/>
      <c r="E1" s="18"/>
      <c r="F1" s="18"/>
      <c r="G1" s="18"/>
      <c r="H1" s="18"/>
      <c r="I1" s="18"/>
      <c r="J1" s="18"/>
      <c r="K1" s="18"/>
      <c r="L1" s="18"/>
      <c r="M1" s="18"/>
      <c r="N1" s="18"/>
      <c r="O1" s="18"/>
      <c r="P1" s="50" t="s">
        <v>224</v>
      </c>
      <c r="Q1" s="50" t="s">
        <v>225</v>
      </c>
    </row>
    <row r="2" spans="1:17" ht="46.5" x14ac:dyDescent="0.15">
      <c r="A2" s="77" t="s">
        <v>66</v>
      </c>
      <c r="B2" s="39">
        <v>6</v>
      </c>
      <c r="C2" s="39">
        <v>5</v>
      </c>
      <c r="D2" s="39">
        <v>2</v>
      </c>
      <c r="E2" s="39">
        <v>5</v>
      </c>
      <c r="F2" s="39">
        <v>7</v>
      </c>
      <c r="G2" s="39">
        <v>7</v>
      </c>
      <c r="H2" s="39">
        <v>7</v>
      </c>
      <c r="I2" s="39">
        <v>6</v>
      </c>
      <c r="J2" s="39">
        <v>7</v>
      </c>
      <c r="K2" s="39">
        <v>7</v>
      </c>
      <c r="L2" s="39">
        <v>7</v>
      </c>
      <c r="M2" s="39">
        <v>5</v>
      </c>
      <c r="N2" s="39">
        <v>7</v>
      </c>
      <c r="O2" s="39">
        <v>6</v>
      </c>
      <c r="P2" s="39">
        <f t="shared" ref="P2:P21" si="0">SUM(B2:O2)</f>
        <v>84</v>
      </c>
      <c r="Q2" s="57" t="s">
        <v>222</v>
      </c>
    </row>
    <row r="3" spans="1:17" ht="35.25" x14ac:dyDescent="0.15">
      <c r="A3" s="77" t="s">
        <v>70</v>
      </c>
      <c r="B3" s="39">
        <v>5</v>
      </c>
      <c r="C3" s="39">
        <v>5</v>
      </c>
      <c r="D3" s="39">
        <v>7</v>
      </c>
      <c r="E3" s="39">
        <v>6</v>
      </c>
      <c r="F3" s="39">
        <v>6</v>
      </c>
      <c r="G3" s="39">
        <v>7</v>
      </c>
      <c r="H3" s="39">
        <v>6</v>
      </c>
      <c r="I3" s="39">
        <v>6</v>
      </c>
      <c r="J3" s="39">
        <v>7</v>
      </c>
      <c r="K3" s="39">
        <v>7</v>
      </c>
      <c r="L3" s="39">
        <v>5</v>
      </c>
      <c r="M3" s="39">
        <v>5</v>
      </c>
      <c r="N3" s="39">
        <v>6</v>
      </c>
      <c r="O3" s="39">
        <v>5</v>
      </c>
      <c r="P3" s="39">
        <f t="shared" si="0"/>
        <v>83</v>
      </c>
      <c r="Q3" s="57" t="s">
        <v>222</v>
      </c>
    </row>
    <row r="4" spans="1:17" ht="35.25" x14ac:dyDescent="0.15">
      <c r="A4" s="77" t="s">
        <v>72</v>
      </c>
      <c r="B4" s="39">
        <v>6</v>
      </c>
      <c r="C4" s="39">
        <v>7</v>
      </c>
      <c r="D4" s="39">
        <v>7</v>
      </c>
      <c r="E4" s="39">
        <v>7</v>
      </c>
      <c r="F4" s="39">
        <v>4</v>
      </c>
      <c r="G4" s="39">
        <v>7</v>
      </c>
      <c r="H4" s="39">
        <v>6</v>
      </c>
      <c r="I4" s="39">
        <v>5</v>
      </c>
      <c r="J4" s="39">
        <v>7</v>
      </c>
      <c r="K4" s="39">
        <v>7</v>
      </c>
      <c r="L4" s="39">
        <v>1</v>
      </c>
      <c r="M4" s="39">
        <v>5</v>
      </c>
      <c r="N4" s="39">
        <v>7</v>
      </c>
      <c r="O4" s="39">
        <v>6</v>
      </c>
      <c r="P4" s="39">
        <f t="shared" si="0"/>
        <v>82</v>
      </c>
      <c r="Q4" s="57" t="s">
        <v>222</v>
      </c>
    </row>
    <row r="5" spans="1:17" ht="35.25" x14ac:dyDescent="0.15">
      <c r="A5" s="77" t="s">
        <v>78</v>
      </c>
      <c r="B5" s="39">
        <v>7</v>
      </c>
      <c r="C5" s="39">
        <v>5</v>
      </c>
      <c r="D5" s="39">
        <v>5</v>
      </c>
      <c r="E5" s="39">
        <v>5</v>
      </c>
      <c r="F5" s="39">
        <v>3</v>
      </c>
      <c r="G5" s="39">
        <v>6</v>
      </c>
      <c r="H5" s="39">
        <v>7</v>
      </c>
      <c r="I5" s="39">
        <v>6</v>
      </c>
      <c r="J5" s="39">
        <v>7</v>
      </c>
      <c r="K5" s="39">
        <v>7</v>
      </c>
      <c r="L5" s="39">
        <v>7</v>
      </c>
      <c r="M5" s="39">
        <v>5</v>
      </c>
      <c r="N5" s="39">
        <v>7</v>
      </c>
      <c r="O5" s="39">
        <v>5</v>
      </c>
      <c r="P5" s="39">
        <f t="shared" si="0"/>
        <v>82</v>
      </c>
      <c r="Q5" s="57" t="s">
        <v>222</v>
      </c>
    </row>
    <row r="6" spans="1:17" ht="46.5" x14ac:dyDescent="0.15">
      <c r="A6" s="77" t="s">
        <v>73</v>
      </c>
      <c r="B6" s="39">
        <v>3</v>
      </c>
      <c r="C6" s="39">
        <v>3</v>
      </c>
      <c r="D6" s="39">
        <v>7</v>
      </c>
      <c r="E6" s="39">
        <v>7</v>
      </c>
      <c r="F6" s="39">
        <v>5</v>
      </c>
      <c r="G6" s="39">
        <v>6</v>
      </c>
      <c r="H6" s="39">
        <v>7</v>
      </c>
      <c r="I6" s="39">
        <v>5</v>
      </c>
      <c r="J6" s="39">
        <v>7</v>
      </c>
      <c r="K6" s="39">
        <v>7</v>
      </c>
      <c r="L6" s="39">
        <v>7</v>
      </c>
      <c r="M6" s="39">
        <v>5</v>
      </c>
      <c r="N6" s="39">
        <v>6</v>
      </c>
      <c r="O6" s="39">
        <v>6</v>
      </c>
      <c r="P6" s="39">
        <f t="shared" si="0"/>
        <v>81</v>
      </c>
      <c r="Q6" s="57" t="s">
        <v>222</v>
      </c>
    </row>
    <row r="7" spans="1:17" ht="58.5" x14ac:dyDescent="0.15">
      <c r="A7" s="77" t="s">
        <v>71</v>
      </c>
      <c r="B7" s="39">
        <v>6</v>
      </c>
      <c r="C7" s="39">
        <v>5</v>
      </c>
      <c r="D7" s="39">
        <v>7</v>
      </c>
      <c r="E7" s="39">
        <v>7</v>
      </c>
      <c r="F7" s="39">
        <v>5</v>
      </c>
      <c r="G7" s="39">
        <v>7</v>
      </c>
      <c r="H7" s="39">
        <v>5</v>
      </c>
      <c r="I7" s="39">
        <v>6</v>
      </c>
      <c r="J7" s="39">
        <v>7</v>
      </c>
      <c r="K7" s="39">
        <v>6</v>
      </c>
      <c r="L7" s="39">
        <v>3</v>
      </c>
      <c r="M7" s="39">
        <v>3</v>
      </c>
      <c r="N7" s="39">
        <v>7</v>
      </c>
      <c r="O7" s="39">
        <v>5</v>
      </c>
      <c r="P7" s="39">
        <f t="shared" si="0"/>
        <v>79</v>
      </c>
      <c r="Q7" s="57" t="s">
        <v>222</v>
      </c>
    </row>
    <row r="8" spans="1:17" ht="58.5" x14ac:dyDescent="0.15">
      <c r="A8" s="78" t="s">
        <v>77</v>
      </c>
      <c r="B8" s="39">
        <v>7</v>
      </c>
      <c r="C8" s="39">
        <v>5</v>
      </c>
      <c r="D8" s="39">
        <v>3</v>
      </c>
      <c r="E8" s="39">
        <v>7</v>
      </c>
      <c r="F8" s="39">
        <v>5</v>
      </c>
      <c r="G8" s="39">
        <v>6</v>
      </c>
      <c r="H8" s="39">
        <v>7</v>
      </c>
      <c r="I8" s="39">
        <v>6</v>
      </c>
      <c r="J8" s="39">
        <v>7</v>
      </c>
      <c r="K8" s="39">
        <v>6</v>
      </c>
      <c r="L8" s="39">
        <v>1</v>
      </c>
      <c r="M8" s="39">
        <v>5</v>
      </c>
      <c r="N8" s="39">
        <v>7</v>
      </c>
      <c r="O8" s="39">
        <v>5</v>
      </c>
      <c r="P8" s="39">
        <f t="shared" si="0"/>
        <v>77</v>
      </c>
      <c r="Q8" s="57" t="s">
        <v>222</v>
      </c>
    </row>
    <row r="9" spans="1:17" ht="58.5" x14ac:dyDescent="0.15">
      <c r="A9" s="34" t="s">
        <v>76</v>
      </c>
      <c r="B9" s="39">
        <v>3</v>
      </c>
      <c r="C9" s="39">
        <v>2</v>
      </c>
      <c r="D9" s="39">
        <v>3</v>
      </c>
      <c r="E9" s="39">
        <v>6</v>
      </c>
      <c r="F9" s="39">
        <v>5</v>
      </c>
      <c r="G9" s="39">
        <v>6</v>
      </c>
      <c r="H9" s="39">
        <v>7</v>
      </c>
      <c r="I9" s="39">
        <v>7</v>
      </c>
      <c r="J9" s="39">
        <v>7</v>
      </c>
      <c r="K9" s="39">
        <v>5</v>
      </c>
      <c r="L9" s="39">
        <v>7</v>
      </c>
      <c r="M9" s="39">
        <v>5</v>
      </c>
      <c r="N9" s="39">
        <v>6</v>
      </c>
      <c r="O9" s="39">
        <v>6</v>
      </c>
      <c r="P9" s="39">
        <f t="shared" si="0"/>
        <v>75</v>
      </c>
      <c r="Q9" s="57" t="s">
        <v>222</v>
      </c>
    </row>
    <row r="10" spans="1:17" ht="69.75" x14ac:dyDescent="0.15">
      <c r="A10" s="34" t="s">
        <v>67</v>
      </c>
      <c r="B10" s="39">
        <v>2</v>
      </c>
      <c r="C10" s="39">
        <v>5</v>
      </c>
      <c r="D10" s="39">
        <v>7</v>
      </c>
      <c r="E10" s="39">
        <v>7</v>
      </c>
      <c r="F10" s="39">
        <v>3</v>
      </c>
      <c r="G10" s="39">
        <v>5</v>
      </c>
      <c r="H10" s="39">
        <v>6</v>
      </c>
      <c r="I10" s="39">
        <v>6</v>
      </c>
      <c r="J10" s="39">
        <v>7</v>
      </c>
      <c r="K10" s="39">
        <v>7</v>
      </c>
      <c r="L10" s="39">
        <v>2</v>
      </c>
      <c r="M10" s="39">
        <v>5</v>
      </c>
      <c r="N10" s="39">
        <v>6</v>
      </c>
      <c r="O10" s="39">
        <v>6</v>
      </c>
      <c r="P10" s="39">
        <f t="shared" si="0"/>
        <v>74</v>
      </c>
      <c r="Q10" s="57" t="s">
        <v>222</v>
      </c>
    </row>
    <row r="11" spans="1:17" ht="35.25" x14ac:dyDescent="0.15">
      <c r="A11" s="34" t="s">
        <v>75</v>
      </c>
      <c r="B11" s="39">
        <v>3</v>
      </c>
      <c r="C11" s="39">
        <v>5</v>
      </c>
      <c r="D11" s="39">
        <v>7</v>
      </c>
      <c r="E11" s="39">
        <v>5</v>
      </c>
      <c r="F11" s="39">
        <v>5</v>
      </c>
      <c r="G11" s="39">
        <v>6</v>
      </c>
      <c r="H11" s="39">
        <v>6</v>
      </c>
      <c r="I11" s="39">
        <v>6</v>
      </c>
      <c r="J11" s="39">
        <v>7</v>
      </c>
      <c r="K11" s="39">
        <v>7</v>
      </c>
      <c r="L11" s="39">
        <v>1</v>
      </c>
      <c r="M11" s="39">
        <v>5</v>
      </c>
      <c r="N11" s="39">
        <v>5</v>
      </c>
      <c r="O11" s="39">
        <v>5</v>
      </c>
      <c r="P11" s="39">
        <f t="shared" si="0"/>
        <v>73</v>
      </c>
      <c r="Q11" s="57" t="s">
        <v>222</v>
      </c>
    </row>
    <row r="12" spans="1:17" ht="46.5" x14ac:dyDescent="0.15">
      <c r="A12" s="34" t="s">
        <v>80</v>
      </c>
      <c r="B12" s="39">
        <v>3</v>
      </c>
      <c r="C12" s="39">
        <v>5</v>
      </c>
      <c r="D12" s="39">
        <v>4</v>
      </c>
      <c r="E12" s="39">
        <v>6</v>
      </c>
      <c r="F12" s="39">
        <v>3</v>
      </c>
      <c r="G12" s="39">
        <v>6</v>
      </c>
      <c r="H12" s="39">
        <v>6</v>
      </c>
      <c r="I12" s="39">
        <v>4</v>
      </c>
      <c r="J12" s="39">
        <v>7</v>
      </c>
      <c r="K12" s="39">
        <v>6</v>
      </c>
      <c r="L12" s="39">
        <v>5</v>
      </c>
      <c r="M12" s="39">
        <v>5</v>
      </c>
      <c r="N12" s="39">
        <v>6</v>
      </c>
      <c r="O12" s="39">
        <v>6</v>
      </c>
      <c r="P12" s="39">
        <f t="shared" si="0"/>
        <v>72</v>
      </c>
      <c r="Q12" s="57" t="s">
        <v>223</v>
      </c>
    </row>
    <row r="13" spans="1:17" ht="35.25" x14ac:dyDescent="0.15">
      <c r="A13" s="34" t="s">
        <v>83</v>
      </c>
      <c r="B13" s="39">
        <v>6</v>
      </c>
      <c r="C13" s="39">
        <v>3</v>
      </c>
      <c r="D13" s="39">
        <v>4</v>
      </c>
      <c r="E13" s="39">
        <v>5</v>
      </c>
      <c r="F13" s="39">
        <v>5</v>
      </c>
      <c r="G13" s="39">
        <v>5</v>
      </c>
      <c r="H13" s="39">
        <v>6</v>
      </c>
      <c r="I13" s="39">
        <v>5</v>
      </c>
      <c r="J13" s="39">
        <v>7</v>
      </c>
      <c r="K13" s="39">
        <v>7</v>
      </c>
      <c r="L13" s="39">
        <v>4</v>
      </c>
      <c r="M13" s="39">
        <v>4</v>
      </c>
      <c r="N13" s="39">
        <v>4</v>
      </c>
      <c r="O13" s="39">
        <v>5</v>
      </c>
      <c r="P13" s="39">
        <f t="shared" si="0"/>
        <v>70</v>
      </c>
      <c r="Q13" s="57" t="s">
        <v>223</v>
      </c>
    </row>
    <row r="14" spans="1:17" ht="93" x14ac:dyDescent="0.15">
      <c r="A14" s="34" t="s">
        <v>141</v>
      </c>
      <c r="B14" s="39">
        <v>6</v>
      </c>
      <c r="C14" s="39">
        <v>1</v>
      </c>
      <c r="D14" s="39">
        <v>5</v>
      </c>
      <c r="E14" s="39">
        <v>5</v>
      </c>
      <c r="F14" s="39">
        <v>4</v>
      </c>
      <c r="G14" s="39">
        <v>5</v>
      </c>
      <c r="H14" s="39">
        <v>6</v>
      </c>
      <c r="I14" s="39">
        <v>1</v>
      </c>
      <c r="J14" s="39">
        <v>7</v>
      </c>
      <c r="K14" s="39">
        <v>7</v>
      </c>
      <c r="L14" s="39">
        <v>7</v>
      </c>
      <c r="M14" s="39">
        <v>4</v>
      </c>
      <c r="N14" s="39">
        <v>6</v>
      </c>
      <c r="O14" s="39">
        <v>5</v>
      </c>
      <c r="P14" s="39">
        <f t="shared" si="0"/>
        <v>69</v>
      </c>
      <c r="Q14" s="57" t="s">
        <v>223</v>
      </c>
    </row>
    <row r="15" spans="1:17" ht="69.75" x14ac:dyDescent="0.15">
      <c r="A15" s="34" t="s">
        <v>142</v>
      </c>
      <c r="B15" s="39">
        <v>3</v>
      </c>
      <c r="C15" s="39">
        <v>5</v>
      </c>
      <c r="D15" s="39">
        <v>3</v>
      </c>
      <c r="E15" s="39">
        <v>6</v>
      </c>
      <c r="F15" s="39">
        <v>2</v>
      </c>
      <c r="G15" s="39">
        <v>5</v>
      </c>
      <c r="H15" s="39">
        <v>5</v>
      </c>
      <c r="I15" s="39">
        <v>6</v>
      </c>
      <c r="J15" s="39">
        <v>7</v>
      </c>
      <c r="K15" s="39">
        <v>7</v>
      </c>
      <c r="L15" s="39">
        <v>5</v>
      </c>
      <c r="M15" s="39">
        <v>3</v>
      </c>
      <c r="N15" s="39">
        <v>6</v>
      </c>
      <c r="O15" s="39">
        <v>5</v>
      </c>
      <c r="P15" s="39">
        <f t="shared" si="0"/>
        <v>68</v>
      </c>
      <c r="Q15" s="57" t="s">
        <v>223</v>
      </c>
    </row>
    <row r="16" spans="1:17" ht="46.5" x14ac:dyDescent="0.15">
      <c r="A16" s="34" t="s">
        <v>82</v>
      </c>
      <c r="B16" s="39">
        <v>1</v>
      </c>
      <c r="C16" s="39">
        <v>5</v>
      </c>
      <c r="D16" s="39">
        <v>7</v>
      </c>
      <c r="E16" s="39">
        <v>5</v>
      </c>
      <c r="F16" s="39">
        <v>4</v>
      </c>
      <c r="G16" s="39">
        <v>5</v>
      </c>
      <c r="H16" s="39">
        <v>6</v>
      </c>
      <c r="I16" s="39">
        <v>5</v>
      </c>
      <c r="J16" s="39">
        <v>7</v>
      </c>
      <c r="K16" s="39">
        <v>7</v>
      </c>
      <c r="L16" s="39">
        <v>1</v>
      </c>
      <c r="M16" s="39">
        <v>5</v>
      </c>
      <c r="N16" s="39">
        <v>3</v>
      </c>
      <c r="O16" s="39">
        <v>6</v>
      </c>
      <c r="P16" s="39">
        <f t="shared" si="0"/>
        <v>67</v>
      </c>
      <c r="Q16" s="57" t="s">
        <v>223</v>
      </c>
    </row>
    <row r="17" spans="1:17" ht="35.25" x14ac:dyDescent="0.15">
      <c r="A17" s="34" t="s">
        <v>69</v>
      </c>
      <c r="B17" s="39">
        <v>7</v>
      </c>
      <c r="C17" s="39">
        <v>4</v>
      </c>
      <c r="D17" s="39">
        <v>1</v>
      </c>
      <c r="E17" s="39">
        <v>1</v>
      </c>
      <c r="F17" s="39">
        <v>5</v>
      </c>
      <c r="G17" s="39">
        <v>7</v>
      </c>
      <c r="H17" s="39">
        <v>6</v>
      </c>
      <c r="I17" s="39">
        <v>4</v>
      </c>
      <c r="J17" s="39">
        <v>7</v>
      </c>
      <c r="K17" s="39">
        <v>6</v>
      </c>
      <c r="L17" s="39">
        <v>5</v>
      </c>
      <c r="M17" s="39">
        <v>5</v>
      </c>
      <c r="N17" s="39">
        <v>2</v>
      </c>
      <c r="O17" s="39">
        <v>5</v>
      </c>
      <c r="P17" s="39">
        <f t="shared" si="0"/>
        <v>65</v>
      </c>
      <c r="Q17" s="57" t="s">
        <v>223</v>
      </c>
    </row>
    <row r="18" spans="1:17" ht="35.25" x14ac:dyDescent="0.15">
      <c r="A18" s="34" t="s">
        <v>74</v>
      </c>
      <c r="B18" s="39">
        <v>6</v>
      </c>
      <c r="C18" s="39">
        <v>5</v>
      </c>
      <c r="D18" s="39">
        <v>3</v>
      </c>
      <c r="E18" s="39">
        <v>6</v>
      </c>
      <c r="F18" s="39">
        <v>5</v>
      </c>
      <c r="G18" s="39">
        <v>6</v>
      </c>
      <c r="H18" s="39">
        <v>6</v>
      </c>
      <c r="I18" s="39">
        <v>5</v>
      </c>
      <c r="J18" s="39">
        <v>1</v>
      </c>
      <c r="K18" s="39">
        <v>6</v>
      </c>
      <c r="L18" s="39">
        <v>1</v>
      </c>
      <c r="M18" s="39">
        <v>5</v>
      </c>
      <c r="N18" s="39">
        <v>4</v>
      </c>
      <c r="O18" s="39">
        <v>5</v>
      </c>
      <c r="P18" s="39">
        <f t="shared" si="0"/>
        <v>64</v>
      </c>
      <c r="Q18" s="57" t="s">
        <v>223</v>
      </c>
    </row>
    <row r="19" spans="1:17" ht="35.25" x14ac:dyDescent="0.15">
      <c r="A19" s="34" t="s">
        <v>81</v>
      </c>
      <c r="B19" s="39">
        <v>2</v>
      </c>
      <c r="C19" s="39">
        <v>5</v>
      </c>
      <c r="D19" s="39">
        <v>1</v>
      </c>
      <c r="E19" s="39">
        <v>5</v>
      </c>
      <c r="F19" s="39">
        <v>3</v>
      </c>
      <c r="G19" s="39">
        <v>5</v>
      </c>
      <c r="H19" s="39">
        <v>6</v>
      </c>
      <c r="I19" s="39">
        <v>6</v>
      </c>
      <c r="J19" s="39">
        <v>7</v>
      </c>
      <c r="K19" s="39">
        <v>7</v>
      </c>
      <c r="L19" s="39">
        <v>1</v>
      </c>
      <c r="M19" s="39">
        <v>5</v>
      </c>
      <c r="N19" s="39">
        <v>4</v>
      </c>
      <c r="O19" s="39">
        <v>6</v>
      </c>
      <c r="P19" s="39">
        <f t="shared" si="0"/>
        <v>63</v>
      </c>
      <c r="Q19" s="57" t="s">
        <v>223</v>
      </c>
    </row>
    <row r="20" spans="1:17" ht="35.25" x14ac:dyDescent="0.15">
      <c r="A20" s="34" t="s">
        <v>79</v>
      </c>
      <c r="B20" s="39">
        <v>1</v>
      </c>
      <c r="C20" s="39">
        <v>4</v>
      </c>
      <c r="D20" s="39">
        <v>7</v>
      </c>
      <c r="E20" s="39">
        <v>3</v>
      </c>
      <c r="F20" s="39">
        <v>5</v>
      </c>
      <c r="G20" s="39">
        <v>6</v>
      </c>
      <c r="H20" s="39">
        <v>3</v>
      </c>
      <c r="I20" s="39">
        <v>4</v>
      </c>
      <c r="J20" s="39">
        <v>1</v>
      </c>
      <c r="K20" s="39">
        <v>6</v>
      </c>
      <c r="L20" s="39">
        <v>4</v>
      </c>
      <c r="M20" s="39">
        <v>5</v>
      </c>
      <c r="N20" s="39">
        <v>4</v>
      </c>
      <c r="O20" s="39">
        <v>5</v>
      </c>
      <c r="P20" s="39">
        <f t="shared" si="0"/>
        <v>58</v>
      </c>
      <c r="Q20" s="57" t="s">
        <v>223</v>
      </c>
    </row>
    <row r="21" spans="1:17" ht="24" x14ac:dyDescent="0.15">
      <c r="A21" s="34" t="s">
        <v>68</v>
      </c>
      <c r="B21" s="39">
        <v>7</v>
      </c>
      <c r="C21" s="39">
        <v>1</v>
      </c>
      <c r="D21" s="39">
        <v>1</v>
      </c>
      <c r="E21" s="39">
        <v>5</v>
      </c>
      <c r="F21" s="39">
        <v>3</v>
      </c>
      <c r="G21" s="39">
        <v>5</v>
      </c>
      <c r="H21" s="39">
        <v>2</v>
      </c>
      <c r="I21" s="39">
        <v>4</v>
      </c>
      <c r="J21" s="39">
        <v>7</v>
      </c>
      <c r="K21" s="39">
        <v>2</v>
      </c>
      <c r="L21" s="39">
        <v>1</v>
      </c>
      <c r="M21" s="39">
        <v>4</v>
      </c>
      <c r="N21" s="39">
        <v>3</v>
      </c>
      <c r="O21" s="39">
        <v>3</v>
      </c>
      <c r="P21" s="39">
        <f t="shared" si="0"/>
        <v>48</v>
      </c>
      <c r="Q21" s="57" t="s">
        <v>223</v>
      </c>
    </row>
  </sheetData>
  <autoFilter ref="Q1:Q21" xr:uid="{48BB458D-3D23-434B-B2A1-3C22C6672598}"/>
  <sortState xmlns:xlrd2="http://schemas.microsoft.com/office/spreadsheetml/2017/richdata2" ref="A2:P21">
    <sortCondition descending="1" ref="P2:P2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918C-2EB5-4568-B95A-15B1D9502D4B}">
  <dimension ref="A1:Q29"/>
  <sheetViews>
    <sheetView workbookViewId="0">
      <selection activeCell="U1" sqref="U1"/>
    </sheetView>
  </sheetViews>
  <sheetFormatPr defaultColWidth="8.8984375" defaultRowHeight="12.75" x14ac:dyDescent="0.15"/>
  <cols>
    <col min="1" max="1" width="50.43359375" style="26" bestFit="1" customWidth="1"/>
    <col min="2" max="15" width="8.8984375" hidden="1" customWidth="1"/>
    <col min="16" max="16" width="19.6875" bestFit="1" customWidth="1"/>
    <col min="17" max="17" width="16.71875" bestFit="1" customWidth="1"/>
  </cols>
  <sheetData>
    <row r="1" spans="1:17" ht="138.75" x14ac:dyDescent="0.15">
      <c r="A1" s="81" t="s">
        <v>281</v>
      </c>
      <c r="B1" s="18"/>
      <c r="C1" s="18"/>
      <c r="D1" s="18"/>
      <c r="E1" s="18"/>
      <c r="F1" s="18"/>
      <c r="G1" s="18"/>
      <c r="H1" s="18"/>
      <c r="I1" s="18"/>
      <c r="J1" s="18"/>
      <c r="K1" s="18"/>
      <c r="L1" s="18"/>
      <c r="M1" s="18"/>
      <c r="N1" s="18"/>
      <c r="O1" s="18"/>
      <c r="P1" s="50" t="s">
        <v>224</v>
      </c>
      <c r="Q1" s="50" t="s">
        <v>225</v>
      </c>
    </row>
    <row r="2" spans="1:17" ht="150" x14ac:dyDescent="0.15">
      <c r="A2" s="77" t="s">
        <v>273</v>
      </c>
      <c r="B2" s="39">
        <v>7</v>
      </c>
      <c r="C2" s="39">
        <v>5</v>
      </c>
      <c r="D2" s="39">
        <v>7</v>
      </c>
      <c r="E2" s="39">
        <v>7</v>
      </c>
      <c r="F2" s="39">
        <v>5</v>
      </c>
      <c r="G2" s="39">
        <v>7</v>
      </c>
      <c r="H2" s="39">
        <v>7</v>
      </c>
      <c r="I2" s="39">
        <v>7</v>
      </c>
      <c r="J2" s="39">
        <v>7</v>
      </c>
      <c r="K2" s="39">
        <v>7</v>
      </c>
      <c r="L2" s="39">
        <v>7</v>
      </c>
      <c r="M2" s="39">
        <v>5</v>
      </c>
      <c r="N2" s="39">
        <v>7</v>
      </c>
      <c r="O2" s="39">
        <v>6</v>
      </c>
      <c r="P2" s="39">
        <f t="shared" ref="P2:P29" si="0">SUM(B2:O2)</f>
        <v>91</v>
      </c>
      <c r="Q2" s="57" t="s">
        <v>222</v>
      </c>
    </row>
    <row r="3" spans="1:17" ht="35.25" x14ac:dyDescent="0.15">
      <c r="A3" s="77" t="s">
        <v>101</v>
      </c>
      <c r="B3" s="39">
        <v>7</v>
      </c>
      <c r="C3" s="39">
        <v>4</v>
      </c>
      <c r="D3" s="39">
        <v>7</v>
      </c>
      <c r="E3" s="39">
        <v>7</v>
      </c>
      <c r="F3" s="39">
        <v>7</v>
      </c>
      <c r="G3" s="39">
        <v>7</v>
      </c>
      <c r="H3" s="39">
        <v>7</v>
      </c>
      <c r="I3" s="39">
        <v>7</v>
      </c>
      <c r="J3" s="39">
        <v>7</v>
      </c>
      <c r="K3" s="39">
        <v>7</v>
      </c>
      <c r="L3" s="39">
        <v>7</v>
      </c>
      <c r="M3" s="39">
        <v>6</v>
      </c>
      <c r="N3" s="39">
        <v>6</v>
      </c>
      <c r="O3" s="39">
        <v>5</v>
      </c>
      <c r="P3" s="39">
        <f t="shared" si="0"/>
        <v>91</v>
      </c>
      <c r="Q3" s="57" t="s">
        <v>222</v>
      </c>
    </row>
    <row r="4" spans="1:17" ht="242.25" x14ac:dyDescent="0.15">
      <c r="A4" s="77" t="s">
        <v>274</v>
      </c>
      <c r="B4" s="39">
        <v>7</v>
      </c>
      <c r="C4" s="39">
        <v>5</v>
      </c>
      <c r="D4" s="39">
        <v>7</v>
      </c>
      <c r="E4" s="39">
        <v>7</v>
      </c>
      <c r="F4" s="39">
        <v>5</v>
      </c>
      <c r="G4" s="39">
        <v>7</v>
      </c>
      <c r="H4" s="39">
        <v>7</v>
      </c>
      <c r="I4" s="39">
        <v>5</v>
      </c>
      <c r="J4" s="39">
        <v>7</v>
      </c>
      <c r="K4" s="39">
        <v>7</v>
      </c>
      <c r="L4" s="39">
        <v>7</v>
      </c>
      <c r="M4" s="39">
        <v>6</v>
      </c>
      <c r="N4" s="39">
        <v>7</v>
      </c>
      <c r="O4" s="39">
        <v>6</v>
      </c>
      <c r="P4" s="39">
        <f t="shared" si="0"/>
        <v>90</v>
      </c>
      <c r="Q4" s="57" t="s">
        <v>222</v>
      </c>
    </row>
    <row r="5" spans="1:17" ht="46.5" x14ac:dyDescent="0.15">
      <c r="A5" s="77" t="s">
        <v>93</v>
      </c>
      <c r="B5" s="39">
        <v>7</v>
      </c>
      <c r="C5" s="39">
        <v>6</v>
      </c>
      <c r="D5" s="39">
        <v>7</v>
      </c>
      <c r="E5" s="39">
        <v>7</v>
      </c>
      <c r="F5" s="39">
        <v>5</v>
      </c>
      <c r="G5" s="39">
        <v>6</v>
      </c>
      <c r="H5" s="39">
        <v>7</v>
      </c>
      <c r="I5" s="39">
        <v>7</v>
      </c>
      <c r="J5" s="39">
        <v>7</v>
      </c>
      <c r="K5" s="39">
        <v>7</v>
      </c>
      <c r="L5" s="39">
        <v>7</v>
      </c>
      <c r="M5" s="39">
        <v>5</v>
      </c>
      <c r="N5" s="39">
        <v>7</v>
      </c>
      <c r="O5" s="39">
        <v>5</v>
      </c>
      <c r="P5" s="39">
        <f t="shared" si="0"/>
        <v>90</v>
      </c>
      <c r="Q5" s="57" t="s">
        <v>222</v>
      </c>
    </row>
    <row r="6" spans="1:17" ht="58.5" x14ac:dyDescent="0.15">
      <c r="A6" s="77" t="s">
        <v>94</v>
      </c>
      <c r="B6" s="39">
        <v>6</v>
      </c>
      <c r="C6" s="39">
        <v>6</v>
      </c>
      <c r="D6" s="39">
        <v>7</v>
      </c>
      <c r="E6" s="39">
        <v>7</v>
      </c>
      <c r="F6" s="39">
        <v>5</v>
      </c>
      <c r="G6" s="39">
        <v>7</v>
      </c>
      <c r="H6" s="39">
        <v>7</v>
      </c>
      <c r="I6" s="39">
        <v>7</v>
      </c>
      <c r="J6" s="39">
        <v>7</v>
      </c>
      <c r="K6" s="39">
        <v>7</v>
      </c>
      <c r="L6" s="39">
        <v>7</v>
      </c>
      <c r="M6" s="39">
        <v>6</v>
      </c>
      <c r="N6" s="39">
        <v>6</v>
      </c>
      <c r="O6" s="39">
        <v>5</v>
      </c>
      <c r="P6" s="39">
        <f t="shared" si="0"/>
        <v>90</v>
      </c>
      <c r="Q6" s="57" t="s">
        <v>222</v>
      </c>
    </row>
    <row r="7" spans="1:17" ht="35.25" x14ac:dyDescent="0.15">
      <c r="A7" s="77" t="s">
        <v>84</v>
      </c>
      <c r="B7" s="39">
        <v>6</v>
      </c>
      <c r="C7" s="39">
        <v>7</v>
      </c>
      <c r="D7" s="39">
        <v>7</v>
      </c>
      <c r="E7" s="39">
        <v>7</v>
      </c>
      <c r="F7" s="39">
        <v>5</v>
      </c>
      <c r="G7" s="39">
        <v>6</v>
      </c>
      <c r="H7" s="39">
        <v>7</v>
      </c>
      <c r="I7" s="39">
        <v>7</v>
      </c>
      <c r="J7" s="39">
        <v>7</v>
      </c>
      <c r="K7" s="39">
        <v>7</v>
      </c>
      <c r="L7" s="39">
        <v>7</v>
      </c>
      <c r="M7" s="39">
        <v>6</v>
      </c>
      <c r="N7" s="39">
        <v>3</v>
      </c>
      <c r="O7" s="39">
        <v>6</v>
      </c>
      <c r="P7" s="39">
        <f t="shared" si="0"/>
        <v>88</v>
      </c>
      <c r="Q7" s="57" t="s">
        <v>222</v>
      </c>
    </row>
    <row r="8" spans="1:17" ht="35.25" x14ac:dyDescent="0.15">
      <c r="A8" s="77" t="s">
        <v>90</v>
      </c>
      <c r="B8" s="39">
        <v>7</v>
      </c>
      <c r="C8" s="39">
        <v>7</v>
      </c>
      <c r="D8" s="39">
        <v>7</v>
      </c>
      <c r="E8" s="39">
        <v>5</v>
      </c>
      <c r="F8" s="39">
        <v>7</v>
      </c>
      <c r="G8" s="39">
        <v>6</v>
      </c>
      <c r="H8" s="39">
        <v>7</v>
      </c>
      <c r="I8" s="39">
        <v>7</v>
      </c>
      <c r="J8" s="39">
        <v>7</v>
      </c>
      <c r="K8" s="39">
        <v>7</v>
      </c>
      <c r="L8" s="39">
        <v>3</v>
      </c>
      <c r="M8" s="39">
        <v>6</v>
      </c>
      <c r="N8" s="39">
        <v>6</v>
      </c>
      <c r="O8" s="39">
        <v>6</v>
      </c>
      <c r="P8" s="39">
        <f t="shared" si="0"/>
        <v>88</v>
      </c>
      <c r="Q8" s="57" t="s">
        <v>222</v>
      </c>
    </row>
    <row r="9" spans="1:17" ht="24" x14ac:dyDescent="0.15">
      <c r="A9" s="77" t="s">
        <v>96</v>
      </c>
      <c r="B9" s="39">
        <v>7</v>
      </c>
      <c r="C9" s="39">
        <v>7</v>
      </c>
      <c r="D9" s="39">
        <v>7</v>
      </c>
      <c r="E9" s="39">
        <v>7</v>
      </c>
      <c r="F9" s="39">
        <v>4</v>
      </c>
      <c r="G9" s="39">
        <v>6</v>
      </c>
      <c r="H9" s="39">
        <v>6</v>
      </c>
      <c r="I9" s="39">
        <v>7</v>
      </c>
      <c r="J9" s="39">
        <v>7</v>
      </c>
      <c r="K9" s="39">
        <v>7</v>
      </c>
      <c r="L9" s="39">
        <v>7</v>
      </c>
      <c r="M9" s="39">
        <v>6</v>
      </c>
      <c r="N9" s="39">
        <v>4</v>
      </c>
      <c r="O9" s="39">
        <v>6</v>
      </c>
      <c r="P9" s="39">
        <f t="shared" si="0"/>
        <v>88</v>
      </c>
      <c r="Q9" s="57" t="s">
        <v>222</v>
      </c>
    </row>
    <row r="10" spans="1:17" ht="58.5" x14ac:dyDescent="0.15">
      <c r="A10" s="77" t="s">
        <v>99</v>
      </c>
      <c r="B10" s="39">
        <v>7</v>
      </c>
      <c r="C10" s="39">
        <v>5</v>
      </c>
      <c r="D10" s="39">
        <v>7</v>
      </c>
      <c r="E10" s="39">
        <v>5</v>
      </c>
      <c r="F10" s="39">
        <v>6</v>
      </c>
      <c r="G10" s="39">
        <v>7</v>
      </c>
      <c r="H10" s="39">
        <v>7</v>
      </c>
      <c r="I10" s="39">
        <v>5</v>
      </c>
      <c r="J10" s="39">
        <v>7</v>
      </c>
      <c r="K10" s="39">
        <v>7</v>
      </c>
      <c r="L10" s="39">
        <v>6</v>
      </c>
      <c r="M10" s="39">
        <v>5</v>
      </c>
      <c r="N10" s="39">
        <v>7</v>
      </c>
      <c r="O10" s="39">
        <v>6</v>
      </c>
      <c r="P10" s="39">
        <f t="shared" si="0"/>
        <v>87</v>
      </c>
      <c r="Q10" s="57" t="s">
        <v>222</v>
      </c>
    </row>
    <row r="11" spans="1:17" ht="58.5" x14ac:dyDescent="0.15">
      <c r="A11" s="77" t="s">
        <v>100</v>
      </c>
      <c r="B11" s="39">
        <v>6</v>
      </c>
      <c r="C11" s="39">
        <v>4</v>
      </c>
      <c r="D11" s="39">
        <v>7</v>
      </c>
      <c r="E11" s="39">
        <v>6</v>
      </c>
      <c r="F11" s="39">
        <v>7</v>
      </c>
      <c r="G11" s="39">
        <v>7</v>
      </c>
      <c r="H11" s="39">
        <v>7</v>
      </c>
      <c r="I11" s="39">
        <v>7</v>
      </c>
      <c r="J11" s="39">
        <v>7</v>
      </c>
      <c r="K11" s="39">
        <v>7</v>
      </c>
      <c r="L11" s="39">
        <v>6</v>
      </c>
      <c r="M11" s="39">
        <v>5</v>
      </c>
      <c r="N11" s="39">
        <v>6</v>
      </c>
      <c r="O11" s="39">
        <v>5</v>
      </c>
      <c r="P11" s="39">
        <f t="shared" si="0"/>
        <v>87</v>
      </c>
      <c r="Q11" s="57" t="s">
        <v>222</v>
      </c>
    </row>
    <row r="12" spans="1:17" ht="24" x14ac:dyDescent="0.15">
      <c r="A12" s="77" t="s">
        <v>86</v>
      </c>
      <c r="B12" s="39">
        <v>6</v>
      </c>
      <c r="C12" s="39">
        <v>5</v>
      </c>
      <c r="D12" s="39">
        <v>7</v>
      </c>
      <c r="E12" s="39">
        <v>5</v>
      </c>
      <c r="F12" s="39">
        <v>7</v>
      </c>
      <c r="G12" s="39">
        <v>6</v>
      </c>
      <c r="H12" s="39">
        <v>7</v>
      </c>
      <c r="I12" s="39">
        <v>6</v>
      </c>
      <c r="J12" s="39">
        <v>7</v>
      </c>
      <c r="K12" s="39">
        <v>7</v>
      </c>
      <c r="L12" s="39">
        <v>6</v>
      </c>
      <c r="M12" s="39">
        <v>5</v>
      </c>
      <c r="N12" s="39">
        <v>6</v>
      </c>
      <c r="O12" s="39">
        <v>5</v>
      </c>
      <c r="P12" s="39">
        <f t="shared" si="0"/>
        <v>85</v>
      </c>
      <c r="Q12" s="57" t="s">
        <v>222</v>
      </c>
    </row>
    <row r="13" spans="1:17" ht="69.75" x14ac:dyDescent="0.15">
      <c r="A13" s="77" t="s">
        <v>89</v>
      </c>
      <c r="B13" s="39">
        <v>6</v>
      </c>
      <c r="C13" s="39">
        <v>5</v>
      </c>
      <c r="D13" s="39">
        <v>7</v>
      </c>
      <c r="E13" s="39">
        <v>7</v>
      </c>
      <c r="F13" s="39">
        <v>4</v>
      </c>
      <c r="G13" s="39">
        <v>6</v>
      </c>
      <c r="H13" s="39">
        <v>7</v>
      </c>
      <c r="I13" s="39">
        <v>7</v>
      </c>
      <c r="J13" s="39">
        <v>7</v>
      </c>
      <c r="K13" s="39">
        <v>7</v>
      </c>
      <c r="L13" s="39">
        <v>5</v>
      </c>
      <c r="M13" s="39">
        <v>6</v>
      </c>
      <c r="N13" s="39">
        <v>5</v>
      </c>
      <c r="O13" s="39">
        <v>6</v>
      </c>
      <c r="P13" s="39">
        <f t="shared" si="0"/>
        <v>85</v>
      </c>
      <c r="Q13" s="57" t="s">
        <v>223</v>
      </c>
    </row>
    <row r="14" spans="1:17" ht="46.5" x14ac:dyDescent="0.15">
      <c r="A14" s="77" t="s">
        <v>88</v>
      </c>
      <c r="B14" s="39">
        <v>7</v>
      </c>
      <c r="C14" s="39">
        <v>5</v>
      </c>
      <c r="D14" s="39">
        <v>7</v>
      </c>
      <c r="E14" s="39">
        <v>7</v>
      </c>
      <c r="F14" s="39">
        <v>6</v>
      </c>
      <c r="G14" s="39">
        <v>5</v>
      </c>
      <c r="H14" s="39">
        <v>6</v>
      </c>
      <c r="I14" s="39">
        <v>6</v>
      </c>
      <c r="J14" s="39">
        <v>7</v>
      </c>
      <c r="K14" s="39">
        <v>6</v>
      </c>
      <c r="L14" s="39">
        <v>5</v>
      </c>
      <c r="M14" s="39">
        <v>5</v>
      </c>
      <c r="N14" s="39">
        <v>6</v>
      </c>
      <c r="O14" s="39">
        <v>5</v>
      </c>
      <c r="P14" s="39">
        <f t="shared" si="0"/>
        <v>83</v>
      </c>
      <c r="Q14" s="57" t="s">
        <v>223</v>
      </c>
    </row>
    <row r="15" spans="1:17" ht="58.5" x14ac:dyDescent="0.15">
      <c r="A15" s="77" t="s">
        <v>98</v>
      </c>
      <c r="B15" s="39">
        <v>3</v>
      </c>
      <c r="C15" s="39">
        <v>5</v>
      </c>
      <c r="D15" s="39">
        <v>7</v>
      </c>
      <c r="E15" s="39">
        <v>7</v>
      </c>
      <c r="F15" s="39">
        <v>5</v>
      </c>
      <c r="G15" s="39">
        <v>5</v>
      </c>
      <c r="H15" s="39">
        <v>6</v>
      </c>
      <c r="I15" s="39">
        <v>6</v>
      </c>
      <c r="J15" s="39">
        <v>7</v>
      </c>
      <c r="K15" s="39">
        <v>7</v>
      </c>
      <c r="L15" s="39">
        <v>5</v>
      </c>
      <c r="M15" s="39">
        <v>5</v>
      </c>
      <c r="N15" s="39">
        <v>7</v>
      </c>
      <c r="O15" s="39">
        <v>6</v>
      </c>
      <c r="P15" s="39">
        <f t="shared" si="0"/>
        <v>81</v>
      </c>
      <c r="Q15" s="57" t="s">
        <v>223</v>
      </c>
    </row>
    <row r="16" spans="1:17" ht="58.5" x14ac:dyDescent="0.15">
      <c r="A16" s="77" t="s">
        <v>143</v>
      </c>
      <c r="B16" s="39">
        <v>5</v>
      </c>
      <c r="C16" s="39">
        <v>6</v>
      </c>
      <c r="D16" s="39">
        <v>7</v>
      </c>
      <c r="E16" s="39">
        <v>7</v>
      </c>
      <c r="F16" s="39">
        <v>3</v>
      </c>
      <c r="G16" s="39">
        <v>6</v>
      </c>
      <c r="H16" s="39">
        <v>7</v>
      </c>
      <c r="I16" s="39">
        <v>6</v>
      </c>
      <c r="J16" s="39">
        <v>7</v>
      </c>
      <c r="K16" s="39">
        <v>7</v>
      </c>
      <c r="L16" s="39">
        <v>6</v>
      </c>
      <c r="M16" s="39">
        <v>3</v>
      </c>
      <c r="N16" s="39">
        <v>6</v>
      </c>
      <c r="O16" s="39">
        <v>4</v>
      </c>
      <c r="P16" s="39">
        <f t="shared" si="0"/>
        <v>80</v>
      </c>
      <c r="Q16" s="57" t="s">
        <v>223</v>
      </c>
    </row>
    <row r="17" spans="1:17" ht="35.25" x14ac:dyDescent="0.15">
      <c r="A17" s="77" t="s">
        <v>91</v>
      </c>
      <c r="B17" s="39">
        <v>6</v>
      </c>
      <c r="C17" s="39">
        <v>6</v>
      </c>
      <c r="D17" s="39">
        <v>7</v>
      </c>
      <c r="E17" s="39">
        <v>6</v>
      </c>
      <c r="F17" s="39">
        <v>4</v>
      </c>
      <c r="G17" s="39">
        <v>5</v>
      </c>
      <c r="H17" s="39">
        <v>7</v>
      </c>
      <c r="I17" s="39">
        <v>6</v>
      </c>
      <c r="J17" s="39">
        <v>7</v>
      </c>
      <c r="K17" s="39">
        <v>7</v>
      </c>
      <c r="L17" s="39">
        <v>4</v>
      </c>
      <c r="M17" s="39">
        <v>5</v>
      </c>
      <c r="N17" s="39">
        <v>4</v>
      </c>
      <c r="O17" s="39">
        <v>5</v>
      </c>
      <c r="P17" s="39">
        <f t="shared" si="0"/>
        <v>79</v>
      </c>
      <c r="Q17" s="57" t="s">
        <v>223</v>
      </c>
    </row>
    <row r="18" spans="1:17" ht="46.5" x14ac:dyDescent="0.15">
      <c r="A18" s="77" t="s">
        <v>92</v>
      </c>
      <c r="B18" s="39">
        <v>7</v>
      </c>
      <c r="C18" s="39">
        <v>6</v>
      </c>
      <c r="D18" s="39">
        <v>7</v>
      </c>
      <c r="E18" s="39">
        <v>7</v>
      </c>
      <c r="F18" s="39">
        <v>4</v>
      </c>
      <c r="G18" s="39">
        <v>5</v>
      </c>
      <c r="H18" s="39">
        <v>7</v>
      </c>
      <c r="I18" s="39">
        <v>6</v>
      </c>
      <c r="J18" s="39">
        <v>7</v>
      </c>
      <c r="K18" s="39">
        <v>7</v>
      </c>
      <c r="L18" s="39">
        <v>1</v>
      </c>
      <c r="M18" s="39">
        <v>5</v>
      </c>
      <c r="N18" s="39">
        <v>5</v>
      </c>
      <c r="O18" s="39">
        <v>5</v>
      </c>
      <c r="P18" s="39">
        <f t="shared" si="0"/>
        <v>79</v>
      </c>
      <c r="Q18" s="57" t="s">
        <v>223</v>
      </c>
    </row>
    <row r="19" spans="1:17" ht="24" x14ac:dyDescent="0.15">
      <c r="A19" s="77" t="s">
        <v>97</v>
      </c>
      <c r="B19" s="39">
        <v>5</v>
      </c>
      <c r="C19" s="39">
        <v>1</v>
      </c>
      <c r="D19" s="39">
        <v>7</v>
      </c>
      <c r="E19" s="39">
        <v>7</v>
      </c>
      <c r="F19" s="39">
        <v>6</v>
      </c>
      <c r="G19" s="39">
        <v>5</v>
      </c>
      <c r="H19" s="39">
        <v>5</v>
      </c>
      <c r="I19" s="39">
        <v>7</v>
      </c>
      <c r="J19" s="39">
        <v>7</v>
      </c>
      <c r="K19" s="39">
        <v>6</v>
      </c>
      <c r="L19" s="39">
        <v>7</v>
      </c>
      <c r="M19" s="39">
        <v>5</v>
      </c>
      <c r="N19" s="39">
        <v>5</v>
      </c>
      <c r="O19" s="39">
        <v>6</v>
      </c>
      <c r="P19" s="39">
        <f t="shared" si="0"/>
        <v>79</v>
      </c>
      <c r="Q19" s="57" t="s">
        <v>223</v>
      </c>
    </row>
    <row r="20" spans="1:17" ht="35.25" x14ac:dyDescent="0.15">
      <c r="A20" s="77" t="s">
        <v>106</v>
      </c>
      <c r="B20" s="39">
        <v>4</v>
      </c>
      <c r="C20" s="39">
        <v>5</v>
      </c>
      <c r="D20" s="39">
        <v>7</v>
      </c>
      <c r="E20" s="39">
        <v>6</v>
      </c>
      <c r="F20" s="39">
        <v>7</v>
      </c>
      <c r="G20" s="39">
        <v>4</v>
      </c>
      <c r="H20" s="39">
        <v>7</v>
      </c>
      <c r="I20" s="39">
        <v>5</v>
      </c>
      <c r="J20" s="39">
        <v>7</v>
      </c>
      <c r="K20" s="39">
        <v>7</v>
      </c>
      <c r="L20" s="39">
        <v>3</v>
      </c>
      <c r="M20" s="39">
        <v>5</v>
      </c>
      <c r="N20" s="39">
        <v>6</v>
      </c>
      <c r="O20" s="39">
        <v>5</v>
      </c>
      <c r="P20" s="39">
        <f t="shared" si="0"/>
        <v>78</v>
      </c>
      <c r="Q20" s="57" t="s">
        <v>223</v>
      </c>
    </row>
    <row r="21" spans="1:17" ht="69.75" x14ac:dyDescent="0.15">
      <c r="A21" s="77" t="s">
        <v>275</v>
      </c>
      <c r="B21" s="39">
        <v>3</v>
      </c>
      <c r="C21" s="39">
        <v>5</v>
      </c>
      <c r="D21" s="39">
        <v>7</v>
      </c>
      <c r="E21" s="39">
        <v>5</v>
      </c>
      <c r="F21" s="39">
        <v>7</v>
      </c>
      <c r="G21" s="39">
        <v>5</v>
      </c>
      <c r="H21" s="39">
        <v>6</v>
      </c>
      <c r="I21" s="39">
        <v>6</v>
      </c>
      <c r="J21" s="39">
        <v>7</v>
      </c>
      <c r="K21" s="39">
        <v>5</v>
      </c>
      <c r="L21" s="39">
        <v>5</v>
      </c>
      <c r="M21" s="39">
        <v>5</v>
      </c>
      <c r="N21" s="39">
        <v>5</v>
      </c>
      <c r="O21" s="39">
        <v>6</v>
      </c>
      <c r="P21" s="39">
        <f t="shared" si="0"/>
        <v>77</v>
      </c>
      <c r="Q21" s="57" t="s">
        <v>223</v>
      </c>
    </row>
    <row r="22" spans="1:17" ht="24" x14ac:dyDescent="0.15">
      <c r="A22" s="77" t="s">
        <v>95</v>
      </c>
      <c r="B22" s="39">
        <v>7</v>
      </c>
      <c r="C22" s="39">
        <v>3</v>
      </c>
      <c r="D22" s="39">
        <v>7</v>
      </c>
      <c r="E22" s="39">
        <v>4</v>
      </c>
      <c r="F22" s="39">
        <v>5</v>
      </c>
      <c r="G22" s="39">
        <v>6</v>
      </c>
      <c r="H22" s="39">
        <v>6</v>
      </c>
      <c r="I22" s="39">
        <v>5</v>
      </c>
      <c r="J22" s="39">
        <v>7</v>
      </c>
      <c r="K22" s="39">
        <v>5</v>
      </c>
      <c r="L22" s="39">
        <v>7</v>
      </c>
      <c r="M22" s="39">
        <v>5</v>
      </c>
      <c r="N22" s="39">
        <v>3</v>
      </c>
      <c r="O22" s="39">
        <v>6</v>
      </c>
      <c r="P22" s="39">
        <f t="shared" si="0"/>
        <v>76</v>
      </c>
      <c r="Q22" s="57" t="s">
        <v>223</v>
      </c>
    </row>
    <row r="23" spans="1:17" ht="69.75" x14ac:dyDescent="0.15">
      <c r="A23" s="77" t="s">
        <v>276</v>
      </c>
      <c r="B23" s="39">
        <v>6</v>
      </c>
      <c r="C23" s="39">
        <v>6</v>
      </c>
      <c r="D23" s="39">
        <v>7</v>
      </c>
      <c r="E23" s="39">
        <v>5</v>
      </c>
      <c r="F23" s="39">
        <v>4</v>
      </c>
      <c r="G23" s="39">
        <v>5</v>
      </c>
      <c r="H23" s="39">
        <v>7</v>
      </c>
      <c r="I23" s="39">
        <v>7</v>
      </c>
      <c r="J23" s="39">
        <v>7</v>
      </c>
      <c r="K23" s="39">
        <v>7</v>
      </c>
      <c r="L23" s="39">
        <v>1</v>
      </c>
      <c r="M23" s="39">
        <v>5</v>
      </c>
      <c r="N23" s="39">
        <v>3</v>
      </c>
      <c r="O23" s="39">
        <v>5</v>
      </c>
      <c r="P23" s="39">
        <f t="shared" si="0"/>
        <v>75</v>
      </c>
      <c r="Q23" s="57" t="s">
        <v>223</v>
      </c>
    </row>
    <row r="24" spans="1:17" ht="69.75" x14ac:dyDescent="0.15">
      <c r="A24" s="77" t="s">
        <v>85</v>
      </c>
      <c r="B24" s="39">
        <v>6</v>
      </c>
      <c r="C24" s="39">
        <v>5</v>
      </c>
      <c r="D24" s="39">
        <v>7</v>
      </c>
      <c r="E24" s="39">
        <v>4</v>
      </c>
      <c r="F24" s="39">
        <v>5</v>
      </c>
      <c r="G24" s="39">
        <v>6</v>
      </c>
      <c r="H24" s="39">
        <v>7</v>
      </c>
      <c r="I24" s="39">
        <v>7</v>
      </c>
      <c r="J24" s="39">
        <v>1</v>
      </c>
      <c r="K24" s="39">
        <v>7</v>
      </c>
      <c r="L24" s="39">
        <v>1</v>
      </c>
      <c r="M24" s="39">
        <v>5</v>
      </c>
      <c r="N24" s="39">
        <v>6</v>
      </c>
      <c r="O24" s="39">
        <v>5</v>
      </c>
      <c r="P24" s="39">
        <f t="shared" si="0"/>
        <v>72</v>
      </c>
      <c r="Q24" s="57" t="s">
        <v>223</v>
      </c>
    </row>
    <row r="25" spans="1:17" ht="24" x14ac:dyDescent="0.15">
      <c r="A25" s="77" t="s">
        <v>87</v>
      </c>
      <c r="B25" s="39">
        <v>6</v>
      </c>
      <c r="C25" s="39">
        <v>5</v>
      </c>
      <c r="D25" s="39">
        <v>5</v>
      </c>
      <c r="E25" s="39">
        <v>4</v>
      </c>
      <c r="F25" s="39">
        <v>6</v>
      </c>
      <c r="G25" s="39">
        <v>6</v>
      </c>
      <c r="H25" s="39">
        <v>6</v>
      </c>
      <c r="I25" s="39">
        <v>6</v>
      </c>
      <c r="J25" s="39">
        <v>7</v>
      </c>
      <c r="K25" s="39">
        <v>1</v>
      </c>
      <c r="L25" s="39">
        <v>1</v>
      </c>
      <c r="M25" s="39">
        <v>4</v>
      </c>
      <c r="N25" s="39">
        <v>6</v>
      </c>
      <c r="O25" s="39">
        <v>6</v>
      </c>
      <c r="P25" s="39">
        <f t="shared" si="0"/>
        <v>69</v>
      </c>
      <c r="Q25" s="57" t="s">
        <v>223</v>
      </c>
    </row>
    <row r="26" spans="1:17" ht="35.25" x14ac:dyDescent="0.15">
      <c r="A26" s="77" t="s">
        <v>105</v>
      </c>
      <c r="B26" s="39">
        <v>2</v>
      </c>
      <c r="C26" s="39">
        <v>5</v>
      </c>
      <c r="D26" s="39">
        <v>5</v>
      </c>
      <c r="E26" s="39">
        <v>4</v>
      </c>
      <c r="F26" s="39">
        <v>7</v>
      </c>
      <c r="G26" s="39">
        <v>5</v>
      </c>
      <c r="H26" s="39">
        <v>7</v>
      </c>
      <c r="I26" s="39">
        <v>4</v>
      </c>
      <c r="J26" s="39">
        <v>7</v>
      </c>
      <c r="K26" s="39">
        <v>7</v>
      </c>
      <c r="L26" s="39">
        <v>4</v>
      </c>
      <c r="M26" s="39">
        <v>3</v>
      </c>
      <c r="N26" s="39">
        <v>4</v>
      </c>
      <c r="O26" s="39">
        <v>5</v>
      </c>
      <c r="P26" s="39">
        <f t="shared" si="0"/>
        <v>69</v>
      </c>
      <c r="Q26" s="57" t="s">
        <v>223</v>
      </c>
    </row>
    <row r="27" spans="1:17" ht="35.25" x14ac:dyDescent="0.15">
      <c r="A27" s="77" t="s">
        <v>103</v>
      </c>
      <c r="B27" s="39">
        <v>1</v>
      </c>
      <c r="C27" s="39">
        <v>5</v>
      </c>
      <c r="D27" s="39">
        <v>7</v>
      </c>
      <c r="E27" s="39">
        <v>5</v>
      </c>
      <c r="F27" s="39">
        <v>4</v>
      </c>
      <c r="G27" s="39">
        <v>5</v>
      </c>
      <c r="H27" s="39">
        <v>7</v>
      </c>
      <c r="I27" s="39">
        <v>2</v>
      </c>
      <c r="J27" s="39">
        <v>7</v>
      </c>
      <c r="K27" s="39">
        <v>7</v>
      </c>
      <c r="L27" s="39">
        <v>2</v>
      </c>
      <c r="M27" s="39">
        <v>5</v>
      </c>
      <c r="N27" s="39">
        <v>5</v>
      </c>
      <c r="O27" s="39">
        <v>5</v>
      </c>
      <c r="P27" s="39">
        <f t="shared" si="0"/>
        <v>67</v>
      </c>
      <c r="Q27" s="57" t="s">
        <v>223</v>
      </c>
    </row>
    <row r="28" spans="1:17" ht="46.5" x14ac:dyDescent="0.15">
      <c r="A28" s="77" t="s">
        <v>102</v>
      </c>
      <c r="B28" s="39">
        <v>5</v>
      </c>
      <c r="C28" s="39">
        <v>5</v>
      </c>
      <c r="D28" s="39">
        <v>1</v>
      </c>
      <c r="E28" s="39">
        <v>4</v>
      </c>
      <c r="F28" s="39">
        <v>7</v>
      </c>
      <c r="G28" s="39">
        <v>5</v>
      </c>
      <c r="H28" s="39">
        <v>5</v>
      </c>
      <c r="I28" s="39">
        <v>2</v>
      </c>
      <c r="J28" s="39">
        <v>7</v>
      </c>
      <c r="K28" s="39">
        <v>6</v>
      </c>
      <c r="L28" s="39">
        <v>7</v>
      </c>
      <c r="M28" s="39">
        <v>3</v>
      </c>
      <c r="N28" s="39">
        <v>5</v>
      </c>
      <c r="O28" s="39">
        <v>3</v>
      </c>
      <c r="P28" s="39">
        <f t="shared" si="0"/>
        <v>65</v>
      </c>
      <c r="Q28" s="57" t="s">
        <v>223</v>
      </c>
    </row>
    <row r="29" spans="1:17" ht="46.5" x14ac:dyDescent="0.15">
      <c r="A29" s="77" t="s">
        <v>104</v>
      </c>
      <c r="B29" s="39">
        <v>1</v>
      </c>
      <c r="C29" s="39">
        <v>2</v>
      </c>
      <c r="D29" s="39">
        <v>4</v>
      </c>
      <c r="E29" s="39">
        <v>3</v>
      </c>
      <c r="F29" s="39">
        <v>7</v>
      </c>
      <c r="G29" s="39">
        <v>5</v>
      </c>
      <c r="H29" s="39">
        <v>5</v>
      </c>
      <c r="I29" s="39">
        <v>4</v>
      </c>
      <c r="J29" s="39">
        <v>7</v>
      </c>
      <c r="K29" s="39">
        <v>7</v>
      </c>
      <c r="L29" s="39">
        <v>2</v>
      </c>
      <c r="M29" s="39">
        <v>3</v>
      </c>
      <c r="N29" s="39">
        <v>6</v>
      </c>
      <c r="O29" s="39">
        <v>4</v>
      </c>
      <c r="P29" s="39">
        <f t="shared" si="0"/>
        <v>60</v>
      </c>
      <c r="Q29" s="57" t="s">
        <v>223</v>
      </c>
    </row>
  </sheetData>
  <autoFilter ref="Q1:Q29" xr:uid="{B9A6918C-2EB5-4568-B95A-15B1D9502D4B}"/>
  <sortState xmlns:xlrd2="http://schemas.microsoft.com/office/spreadsheetml/2017/richdata2" ref="A2:P29">
    <sortCondition descending="1" ref="P2:P29"/>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74222-05C4-7640-B58F-B82734254DB2}">
  <sheetPr filterMode="1"/>
  <dimension ref="A1:Q40"/>
  <sheetViews>
    <sheetView zoomScaleNormal="100" workbookViewId="0">
      <selection activeCell="W13" sqref="W13"/>
    </sheetView>
  </sheetViews>
  <sheetFormatPr defaultColWidth="11.4609375" defaultRowHeight="12.75" x14ac:dyDescent="0.15"/>
  <cols>
    <col min="1" max="1" width="50.83984375" style="47" customWidth="1"/>
    <col min="2" max="15" width="11.4609375" style="35" hidden="1" customWidth="1"/>
    <col min="16" max="16" width="22.25" style="36" bestFit="1" customWidth="1"/>
    <col min="17" max="17" width="19.1484375" style="36" bestFit="1" customWidth="1"/>
    <col min="18" max="16384" width="11.4609375" style="35"/>
  </cols>
  <sheetData>
    <row r="1" spans="1:17" ht="13.5" x14ac:dyDescent="0.15">
      <c r="P1" s="50" t="s">
        <v>224</v>
      </c>
      <c r="Q1" s="50" t="s">
        <v>225</v>
      </c>
    </row>
    <row r="2" spans="1:17" ht="35.25" x14ac:dyDescent="0.15">
      <c r="A2" s="48" t="s">
        <v>204</v>
      </c>
      <c r="B2" s="16">
        <v>7</v>
      </c>
      <c r="C2" s="2">
        <v>5</v>
      </c>
      <c r="D2" s="5">
        <v>7</v>
      </c>
      <c r="E2" s="2">
        <v>5</v>
      </c>
      <c r="F2" s="5">
        <v>7</v>
      </c>
      <c r="G2" s="2">
        <v>7</v>
      </c>
      <c r="H2" s="5">
        <v>7</v>
      </c>
      <c r="I2" s="2">
        <v>6</v>
      </c>
      <c r="J2" s="5">
        <v>7</v>
      </c>
      <c r="K2" s="2">
        <v>7</v>
      </c>
      <c r="L2" s="5">
        <v>7</v>
      </c>
      <c r="M2" s="2">
        <v>6</v>
      </c>
      <c r="N2" s="5">
        <v>7</v>
      </c>
      <c r="O2" s="37">
        <v>6</v>
      </c>
      <c r="P2" s="39">
        <f>SUM(B2:O2)</f>
        <v>91</v>
      </c>
      <c r="Q2" s="40" t="s">
        <v>222</v>
      </c>
    </row>
    <row r="3" spans="1:17" ht="24" x14ac:dyDescent="0.15">
      <c r="A3" s="48" t="s">
        <v>144</v>
      </c>
      <c r="B3" s="16">
        <v>7</v>
      </c>
      <c r="C3" s="2">
        <v>6</v>
      </c>
      <c r="D3" s="5">
        <v>5</v>
      </c>
      <c r="E3" s="2">
        <v>7</v>
      </c>
      <c r="F3" s="5">
        <v>7</v>
      </c>
      <c r="G3" s="2">
        <v>5</v>
      </c>
      <c r="H3" s="5">
        <v>7</v>
      </c>
      <c r="I3" s="2">
        <v>7</v>
      </c>
      <c r="J3" s="5">
        <v>7</v>
      </c>
      <c r="K3" s="2">
        <v>7</v>
      </c>
      <c r="L3" s="5">
        <v>7</v>
      </c>
      <c r="M3" s="2">
        <v>4</v>
      </c>
      <c r="N3" s="5">
        <v>7</v>
      </c>
      <c r="O3" s="37">
        <v>6</v>
      </c>
      <c r="P3" s="39">
        <f>SUM(B3:O3)</f>
        <v>89</v>
      </c>
      <c r="Q3" s="40" t="s">
        <v>222</v>
      </c>
    </row>
    <row r="4" spans="1:17" ht="42.6" customHeight="1" x14ac:dyDescent="0.15">
      <c r="A4" s="48" t="s">
        <v>205</v>
      </c>
      <c r="B4" s="16">
        <v>6</v>
      </c>
      <c r="C4" s="2">
        <v>5</v>
      </c>
      <c r="D4" s="5">
        <v>7</v>
      </c>
      <c r="E4" s="2">
        <v>6</v>
      </c>
      <c r="F4" s="5">
        <v>7</v>
      </c>
      <c r="G4" s="2">
        <v>6</v>
      </c>
      <c r="H4" s="5">
        <v>7</v>
      </c>
      <c r="I4" s="2">
        <v>6</v>
      </c>
      <c r="J4" s="5">
        <v>7</v>
      </c>
      <c r="K4" s="2">
        <v>7</v>
      </c>
      <c r="L4" s="5">
        <v>7</v>
      </c>
      <c r="M4" s="2">
        <v>5</v>
      </c>
      <c r="N4" s="5">
        <v>6</v>
      </c>
      <c r="O4" s="37">
        <v>5</v>
      </c>
      <c r="P4" s="39">
        <f>SUM(B4:O4)</f>
        <v>87</v>
      </c>
      <c r="Q4" s="40" t="s">
        <v>222</v>
      </c>
    </row>
    <row r="5" spans="1:17" ht="24" x14ac:dyDescent="0.15">
      <c r="A5" s="48" t="s">
        <v>169</v>
      </c>
      <c r="B5" s="16">
        <v>7</v>
      </c>
      <c r="C5" s="2">
        <v>6</v>
      </c>
      <c r="D5" s="5">
        <v>7</v>
      </c>
      <c r="E5" s="2">
        <v>7</v>
      </c>
      <c r="F5" s="5">
        <v>6</v>
      </c>
      <c r="G5" s="2">
        <v>6</v>
      </c>
      <c r="H5" s="5">
        <v>7</v>
      </c>
      <c r="I5" s="2">
        <v>7</v>
      </c>
      <c r="J5" s="5">
        <v>7</v>
      </c>
      <c r="K5" s="2">
        <v>5</v>
      </c>
      <c r="L5" s="5">
        <v>5</v>
      </c>
      <c r="M5" s="2">
        <v>5</v>
      </c>
      <c r="N5" s="5">
        <v>5</v>
      </c>
      <c r="O5" s="37">
        <v>6</v>
      </c>
      <c r="P5" s="39">
        <v>86</v>
      </c>
      <c r="Q5" s="40" t="s">
        <v>222</v>
      </c>
    </row>
    <row r="6" spans="1:17" x14ac:dyDescent="0.15">
      <c r="A6" s="48" t="s">
        <v>145</v>
      </c>
      <c r="B6" s="16">
        <v>7</v>
      </c>
      <c r="C6" s="2">
        <v>4</v>
      </c>
      <c r="D6" s="5">
        <v>6</v>
      </c>
      <c r="E6" s="2">
        <v>7</v>
      </c>
      <c r="F6" s="5">
        <v>5</v>
      </c>
      <c r="G6" s="2">
        <v>6</v>
      </c>
      <c r="H6" s="5">
        <v>7</v>
      </c>
      <c r="I6" s="2">
        <v>6</v>
      </c>
      <c r="J6" s="5">
        <v>7</v>
      </c>
      <c r="K6" s="2">
        <v>7</v>
      </c>
      <c r="L6" s="5">
        <v>7</v>
      </c>
      <c r="M6" s="2">
        <v>5</v>
      </c>
      <c r="N6" s="5">
        <v>6</v>
      </c>
      <c r="O6" s="37">
        <v>6</v>
      </c>
      <c r="P6" s="39">
        <f>SUM(B6:O6)</f>
        <v>86</v>
      </c>
      <c r="Q6" s="40" t="s">
        <v>222</v>
      </c>
    </row>
    <row r="7" spans="1:17" ht="37.5" x14ac:dyDescent="0.15">
      <c r="A7" s="48" t="s">
        <v>176</v>
      </c>
      <c r="B7" s="16">
        <v>7</v>
      </c>
      <c r="C7" s="2">
        <v>6</v>
      </c>
      <c r="D7" s="5">
        <v>5</v>
      </c>
      <c r="E7" s="2">
        <v>6</v>
      </c>
      <c r="F7" s="5">
        <v>5</v>
      </c>
      <c r="G7" s="2">
        <v>4</v>
      </c>
      <c r="H7" s="5">
        <v>7</v>
      </c>
      <c r="I7" s="2">
        <v>7</v>
      </c>
      <c r="J7" s="5">
        <v>7</v>
      </c>
      <c r="K7" s="2">
        <v>7</v>
      </c>
      <c r="L7" s="5">
        <v>7</v>
      </c>
      <c r="M7" s="2">
        <v>4</v>
      </c>
      <c r="N7" s="5">
        <v>7</v>
      </c>
      <c r="O7" s="37">
        <v>5</v>
      </c>
      <c r="P7" s="39">
        <f t="shared" ref="P7" si="0">SUM(B7:O7)</f>
        <v>84</v>
      </c>
      <c r="Q7" s="40" t="s">
        <v>222</v>
      </c>
    </row>
    <row r="8" spans="1:17" ht="24" x14ac:dyDescent="0.15">
      <c r="A8" s="48" t="s">
        <v>170</v>
      </c>
      <c r="B8" s="16">
        <v>6</v>
      </c>
      <c r="C8" s="2">
        <v>6</v>
      </c>
      <c r="D8" s="5">
        <v>4</v>
      </c>
      <c r="E8" s="2">
        <v>5</v>
      </c>
      <c r="F8" s="5">
        <v>5</v>
      </c>
      <c r="G8" s="2">
        <v>7</v>
      </c>
      <c r="H8" s="5">
        <v>7</v>
      </c>
      <c r="I8" s="2">
        <v>7</v>
      </c>
      <c r="J8" s="5">
        <v>7</v>
      </c>
      <c r="K8" s="2">
        <v>6</v>
      </c>
      <c r="L8" s="5">
        <v>7</v>
      </c>
      <c r="M8" s="2">
        <v>5</v>
      </c>
      <c r="N8" s="5">
        <v>7</v>
      </c>
      <c r="O8" s="37">
        <v>6</v>
      </c>
      <c r="P8" s="39">
        <f>SUM(B8:O8)</f>
        <v>85</v>
      </c>
      <c r="Q8" s="40" t="s">
        <v>222</v>
      </c>
    </row>
    <row r="9" spans="1:17" x14ac:dyDescent="0.15">
      <c r="A9" s="34" t="s">
        <v>171</v>
      </c>
      <c r="B9" s="16">
        <v>7</v>
      </c>
      <c r="C9" s="2">
        <v>4</v>
      </c>
      <c r="D9" s="5">
        <v>7</v>
      </c>
      <c r="E9" s="2">
        <v>7</v>
      </c>
      <c r="F9" s="5">
        <v>6</v>
      </c>
      <c r="G9" s="2">
        <v>7</v>
      </c>
      <c r="H9" s="5">
        <v>7</v>
      </c>
      <c r="I9" s="2">
        <v>4</v>
      </c>
      <c r="J9" s="5">
        <v>4</v>
      </c>
      <c r="K9" s="2">
        <v>7</v>
      </c>
      <c r="L9" s="5">
        <v>7</v>
      </c>
      <c r="M9" s="2">
        <v>3</v>
      </c>
      <c r="N9" s="5">
        <v>7</v>
      </c>
      <c r="O9" s="37">
        <v>5</v>
      </c>
      <c r="P9" s="39">
        <f>SUM(B9:O9)</f>
        <v>82</v>
      </c>
      <c r="Q9" s="40" t="s">
        <v>222</v>
      </c>
    </row>
    <row r="10" spans="1:17" ht="46.5" x14ac:dyDescent="0.15">
      <c r="A10" s="48" t="s">
        <v>146</v>
      </c>
      <c r="B10" s="16">
        <v>5</v>
      </c>
      <c r="C10" s="2">
        <v>5</v>
      </c>
      <c r="D10" s="5">
        <v>3</v>
      </c>
      <c r="E10" s="2">
        <v>5</v>
      </c>
      <c r="F10" s="5">
        <v>5</v>
      </c>
      <c r="G10" s="2">
        <v>7</v>
      </c>
      <c r="H10" s="5">
        <v>7</v>
      </c>
      <c r="I10" s="2">
        <v>6</v>
      </c>
      <c r="J10" s="5">
        <v>7</v>
      </c>
      <c r="K10" s="2">
        <v>7</v>
      </c>
      <c r="L10" s="5">
        <v>7</v>
      </c>
      <c r="M10" s="2">
        <v>6</v>
      </c>
      <c r="N10" s="5">
        <v>7</v>
      </c>
      <c r="O10" s="37">
        <v>5</v>
      </c>
      <c r="P10" s="39">
        <f>SUM(B10:O10)</f>
        <v>82</v>
      </c>
      <c r="Q10" s="40" t="s">
        <v>222</v>
      </c>
    </row>
    <row r="11" spans="1:17" x14ac:dyDescent="0.15">
      <c r="A11" s="34" t="s">
        <v>7</v>
      </c>
      <c r="B11" s="16">
        <v>6</v>
      </c>
      <c r="C11" s="2">
        <v>4</v>
      </c>
      <c r="D11" s="5">
        <v>7</v>
      </c>
      <c r="E11" s="2">
        <v>7</v>
      </c>
      <c r="F11" s="5">
        <v>5</v>
      </c>
      <c r="G11" s="2">
        <v>6</v>
      </c>
      <c r="H11" s="5">
        <v>5</v>
      </c>
      <c r="I11" s="2">
        <v>5</v>
      </c>
      <c r="J11" s="5">
        <v>7</v>
      </c>
      <c r="K11" s="2">
        <v>7</v>
      </c>
      <c r="L11" s="5">
        <v>7</v>
      </c>
      <c r="M11" s="2">
        <v>3</v>
      </c>
      <c r="N11" s="5">
        <v>5</v>
      </c>
      <c r="O11" s="37">
        <v>7</v>
      </c>
      <c r="P11" s="39">
        <v>81</v>
      </c>
      <c r="Q11" s="40" t="s">
        <v>222</v>
      </c>
    </row>
    <row r="12" spans="1:17" ht="83.25" x14ac:dyDescent="0.15">
      <c r="A12" s="34" t="s">
        <v>206</v>
      </c>
      <c r="B12" s="16">
        <v>3</v>
      </c>
      <c r="C12" s="2">
        <v>5</v>
      </c>
      <c r="D12" s="5">
        <v>7</v>
      </c>
      <c r="E12" s="2">
        <v>4</v>
      </c>
      <c r="F12" s="5">
        <v>5</v>
      </c>
      <c r="G12" s="2">
        <v>6</v>
      </c>
      <c r="H12" s="5">
        <v>7</v>
      </c>
      <c r="I12" s="2">
        <v>5</v>
      </c>
      <c r="J12" s="5">
        <v>7</v>
      </c>
      <c r="K12" s="2">
        <v>7</v>
      </c>
      <c r="L12" s="5">
        <v>7</v>
      </c>
      <c r="M12" s="2">
        <v>6</v>
      </c>
      <c r="N12" s="5">
        <v>6</v>
      </c>
      <c r="O12" s="37">
        <v>6</v>
      </c>
      <c r="P12" s="39">
        <f>SUM(B12:O12)</f>
        <v>81</v>
      </c>
      <c r="Q12" s="40" t="s">
        <v>222</v>
      </c>
    </row>
    <row r="13" spans="1:17" ht="35.25" x14ac:dyDescent="0.15">
      <c r="A13" s="34" t="s">
        <v>147</v>
      </c>
      <c r="B13" s="16">
        <v>3</v>
      </c>
      <c r="C13" s="2">
        <v>4</v>
      </c>
      <c r="D13" s="5">
        <v>7</v>
      </c>
      <c r="E13" s="2">
        <v>7</v>
      </c>
      <c r="F13" s="5">
        <v>6</v>
      </c>
      <c r="G13" s="2">
        <v>7</v>
      </c>
      <c r="H13" s="5">
        <v>7</v>
      </c>
      <c r="I13" s="2">
        <v>7</v>
      </c>
      <c r="J13" s="5">
        <v>7</v>
      </c>
      <c r="K13" s="2">
        <v>5</v>
      </c>
      <c r="L13" s="5">
        <v>7</v>
      </c>
      <c r="M13" s="2">
        <v>6</v>
      </c>
      <c r="N13" s="5">
        <v>3</v>
      </c>
      <c r="O13" s="37">
        <v>5</v>
      </c>
      <c r="P13" s="39">
        <f>SUM(B13:O13)</f>
        <v>81</v>
      </c>
      <c r="Q13" s="40" t="s">
        <v>222</v>
      </c>
    </row>
    <row r="14" spans="1:17" x14ac:dyDescent="0.15">
      <c r="A14" s="34" t="s">
        <v>148</v>
      </c>
      <c r="B14" s="16">
        <v>5</v>
      </c>
      <c r="C14" s="2">
        <v>5</v>
      </c>
      <c r="D14" s="5">
        <v>7</v>
      </c>
      <c r="E14" s="2">
        <v>5</v>
      </c>
      <c r="F14" s="5">
        <v>7</v>
      </c>
      <c r="G14" s="2">
        <v>7</v>
      </c>
      <c r="H14" s="5">
        <v>7</v>
      </c>
      <c r="I14" s="2">
        <v>7</v>
      </c>
      <c r="J14" s="5">
        <v>7</v>
      </c>
      <c r="K14" s="2">
        <v>3</v>
      </c>
      <c r="L14" s="5">
        <v>3</v>
      </c>
      <c r="M14" s="2">
        <v>5</v>
      </c>
      <c r="N14" s="5">
        <v>7</v>
      </c>
      <c r="O14" s="37">
        <v>5</v>
      </c>
      <c r="P14" s="39">
        <f>SUM(B14:O14)</f>
        <v>80</v>
      </c>
      <c r="Q14" s="40" t="s">
        <v>222</v>
      </c>
    </row>
    <row r="15" spans="1:17" ht="24" x14ac:dyDescent="0.15">
      <c r="A15" s="49" t="s">
        <v>149</v>
      </c>
      <c r="B15" s="16">
        <v>6</v>
      </c>
      <c r="C15" s="2">
        <v>3</v>
      </c>
      <c r="D15" s="5">
        <v>7</v>
      </c>
      <c r="E15" s="2">
        <v>1</v>
      </c>
      <c r="F15" s="5">
        <v>6</v>
      </c>
      <c r="G15" s="2">
        <v>6</v>
      </c>
      <c r="H15" s="5">
        <v>7</v>
      </c>
      <c r="I15" s="2">
        <v>7</v>
      </c>
      <c r="J15" s="5">
        <v>7</v>
      </c>
      <c r="K15" s="2">
        <v>7</v>
      </c>
      <c r="L15" s="5">
        <v>7</v>
      </c>
      <c r="M15" s="2">
        <v>6</v>
      </c>
      <c r="N15" s="5">
        <v>5</v>
      </c>
      <c r="O15" s="37">
        <v>5</v>
      </c>
      <c r="P15" s="39">
        <f>SUM(B15:O15)</f>
        <v>80</v>
      </c>
      <c r="Q15" s="40" t="s">
        <v>222</v>
      </c>
    </row>
    <row r="16" spans="1:17" hidden="1" x14ac:dyDescent="0.15">
      <c r="A16" s="48" t="s">
        <v>207</v>
      </c>
      <c r="B16" s="16">
        <v>7</v>
      </c>
      <c r="C16" s="2">
        <v>6</v>
      </c>
      <c r="D16" s="5">
        <v>5</v>
      </c>
      <c r="E16" s="2">
        <v>7</v>
      </c>
      <c r="F16" s="5">
        <v>5</v>
      </c>
      <c r="G16" s="2">
        <v>5</v>
      </c>
      <c r="H16" s="5">
        <v>7</v>
      </c>
      <c r="I16" s="2">
        <v>4</v>
      </c>
      <c r="J16" s="5">
        <v>7</v>
      </c>
      <c r="K16" s="2">
        <v>7</v>
      </c>
      <c r="L16" s="5">
        <v>6</v>
      </c>
      <c r="M16" s="2">
        <v>5</v>
      </c>
      <c r="N16" s="5">
        <v>4</v>
      </c>
      <c r="O16" s="37">
        <v>5</v>
      </c>
      <c r="P16" s="39">
        <f>SUM(B16:O16)</f>
        <v>80</v>
      </c>
      <c r="Q16" s="40" t="s">
        <v>223</v>
      </c>
    </row>
    <row r="17" spans="1:17" hidden="1" x14ac:dyDescent="0.15">
      <c r="A17" s="49" t="s">
        <v>150</v>
      </c>
      <c r="B17" s="17">
        <v>5</v>
      </c>
      <c r="C17" s="11">
        <v>6</v>
      </c>
      <c r="D17" s="10">
        <v>3</v>
      </c>
      <c r="E17" s="11">
        <v>7</v>
      </c>
      <c r="F17" s="10">
        <v>7</v>
      </c>
      <c r="G17" s="11">
        <v>4</v>
      </c>
      <c r="H17" s="10">
        <v>7</v>
      </c>
      <c r="I17" s="11">
        <v>7</v>
      </c>
      <c r="J17" s="10">
        <v>7</v>
      </c>
      <c r="K17" s="11">
        <v>6</v>
      </c>
      <c r="L17" s="10">
        <v>5</v>
      </c>
      <c r="M17" s="11">
        <v>5</v>
      </c>
      <c r="N17" s="10">
        <v>6</v>
      </c>
      <c r="O17" s="38">
        <v>5</v>
      </c>
      <c r="P17" s="41">
        <f t="shared" ref="P17" si="1">SUM(B17:O17)</f>
        <v>80</v>
      </c>
      <c r="Q17" s="40" t="s">
        <v>223</v>
      </c>
    </row>
    <row r="18" spans="1:17" hidden="1" x14ac:dyDescent="0.15">
      <c r="A18" s="48" t="s">
        <v>208</v>
      </c>
      <c r="B18" s="16">
        <v>6</v>
      </c>
      <c r="C18" s="2">
        <v>6</v>
      </c>
      <c r="D18" s="5">
        <v>5</v>
      </c>
      <c r="E18" s="2">
        <v>7</v>
      </c>
      <c r="F18" s="5">
        <v>5</v>
      </c>
      <c r="G18" s="2">
        <v>4</v>
      </c>
      <c r="H18" s="5">
        <v>7</v>
      </c>
      <c r="I18" s="2">
        <v>7</v>
      </c>
      <c r="J18" s="5">
        <v>7</v>
      </c>
      <c r="K18" s="2">
        <v>6</v>
      </c>
      <c r="L18" s="5">
        <v>5</v>
      </c>
      <c r="M18" s="2">
        <v>5</v>
      </c>
      <c r="N18" s="5">
        <v>7</v>
      </c>
      <c r="O18" s="37">
        <v>2</v>
      </c>
      <c r="P18" s="39">
        <f t="shared" ref="P18:P40" si="2">SUM(B18:O18)</f>
        <v>79</v>
      </c>
      <c r="Q18" s="40" t="s">
        <v>223</v>
      </c>
    </row>
    <row r="19" spans="1:17" hidden="1" x14ac:dyDescent="0.15">
      <c r="A19" s="49" t="s">
        <v>151</v>
      </c>
      <c r="B19" s="16">
        <v>7</v>
      </c>
      <c r="C19" s="2">
        <v>6</v>
      </c>
      <c r="D19" s="5">
        <v>4</v>
      </c>
      <c r="E19" s="2">
        <v>4</v>
      </c>
      <c r="F19" s="5">
        <v>5</v>
      </c>
      <c r="G19" s="2">
        <v>5</v>
      </c>
      <c r="H19" s="5">
        <v>7</v>
      </c>
      <c r="I19" s="2">
        <v>6</v>
      </c>
      <c r="J19" s="5">
        <v>7</v>
      </c>
      <c r="K19" s="2">
        <v>7</v>
      </c>
      <c r="L19" s="5">
        <v>7</v>
      </c>
      <c r="M19" s="2">
        <v>5</v>
      </c>
      <c r="N19" s="5">
        <v>5</v>
      </c>
      <c r="O19" s="37">
        <v>4</v>
      </c>
      <c r="P19" s="39">
        <f t="shared" si="2"/>
        <v>79</v>
      </c>
      <c r="Q19" s="40" t="s">
        <v>223</v>
      </c>
    </row>
    <row r="20" spans="1:17" hidden="1" x14ac:dyDescent="0.15">
      <c r="A20" s="49" t="s">
        <v>173</v>
      </c>
      <c r="B20" s="16">
        <v>5</v>
      </c>
      <c r="C20" s="2">
        <v>5</v>
      </c>
      <c r="D20" s="5">
        <v>7</v>
      </c>
      <c r="E20" s="2">
        <v>7</v>
      </c>
      <c r="F20" s="5">
        <v>3</v>
      </c>
      <c r="G20" s="2">
        <v>5</v>
      </c>
      <c r="H20" s="5">
        <v>7</v>
      </c>
      <c r="I20" s="2">
        <v>4</v>
      </c>
      <c r="J20" s="5">
        <v>7</v>
      </c>
      <c r="K20" s="2">
        <v>7</v>
      </c>
      <c r="L20" s="5">
        <v>5</v>
      </c>
      <c r="M20" s="2">
        <v>5</v>
      </c>
      <c r="N20" s="5">
        <v>4</v>
      </c>
      <c r="O20" s="37">
        <v>7</v>
      </c>
      <c r="P20" s="39">
        <f t="shared" si="2"/>
        <v>78</v>
      </c>
      <c r="Q20" s="40" t="s">
        <v>223</v>
      </c>
    </row>
    <row r="21" spans="1:17" hidden="1" x14ac:dyDescent="0.15">
      <c r="A21" s="49" t="s">
        <v>152</v>
      </c>
      <c r="B21" s="16">
        <v>5</v>
      </c>
      <c r="C21" s="2">
        <v>2</v>
      </c>
      <c r="D21" s="5">
        <v>6</v>
      </c>
      <c r="E21" s="2">
        <v>4</v>
      </c>
      <c r="F21" s="5">
        <v>6</v>
      </c>
      <c r="G21" s="2">
        <v>6</v>
      </c>
      <c r="H21" s="5">
        <v>7</v>
      </c>
      <c r="I21" s="2">
        <v>6</v>
      </c>
      <c r="J21" s="5">
        <v>7</v>
      </c>
      <c r="K21" s="2">
        <v>7</v>
      </c>
      <c r="L21" s="5">
        <v>7</v>
      </c>
      <c r="M21" s="2">
        <v>6</v>
      </c>
      <c r="N21" s="5">
        <v>4</v>
      </c>
      <c r="O21" s="37">
        <v>5</v>
      </c>
      <c r="P21" s="39">
        <f t="shared" si="2"/>
        <v>78</v>
      </c>
      <c r="Q21" s="40" t="s">
        <v>223</v>
      </c>
    </row>
    <row r="22" spans="1:17" hidden="1" x14ac:dyDescent="0.15">
      <c r="A22" s="49" t="s">
        <v>153</v>
      </c>
      <c r="B22" s="16">
        <v>6</v>
      </c>
      <c r="C22" s="2">
        <v>6</v>
      </c>
      <c r="D22" s="5">
        <v>6</v>
      </c>
      <c r="E22" s="2">
        <v>7</v>
      </c>
      <c r="F22" s="5">
        <v>5</v>
      </c>
      <c r="G22" s="2">
        <v>4</v>
      </c>
      <c r="H22" s="5">
        <v>7</v>
      </c>
      <c r="I22" s="2">
        <v>7</v>
      </c>
      <c r="J22" s="5">
        <v>7</v>
      </c>
      <c r="K22" s="2">
        <v>6</v>
      </c>
      <c r="L22" s="5">
        <v>1</v>
      </c>
      <c r="M22" s="2">
        <v>3</v>
      </c>
      <c r="N22" s="5">
        <v>7</v>
      </c>
      <c r="O22" s="37">
        <v>5</v>
      </c>
      <c r="P22" s="39">
        <f t="shared" si="2"/>
        <v>77</v>
      </c>
      <c r="Q22" s="40" t="s">
        <v>223</v>
      </c>
    </row>
    <row r="23" spans="1:17" hidden="1" x14ac:dyDescent="0.15">
      <c r="A23" s="49" t="s">
        <v>154</v>
      </c>
      <c r="B23" s="16">
        <v>6</v>
      </c>
      <c r="C23" s="2">
        <v>3</v>
      </c>
      <c r="D23" s="5">
        <v>5</v>
      </c>
      <c r="E23" s="2">
        <v>7</v>
      </c>
      <c r="F23" s="5">
        <v>3</v>
      </c>
      <c r="G23" s="2">
        <v>5</v>
      </c>
      <c r="H23" s="5">
        <v>7</v>
      </c>
      <c r="I23" s="2">
        <v>7</v>
      </c>
      <c r="J23" s="5">
        <v>7</v>
      </c>
      <c r="K23" s="2">
        <v>7</v>
      </c>
      <c r="L23" s="5">
        <v>3</v>
      </c>
      <c r="M23" s="2">
        <v>6</v>
      </c>
      <c r="N23" s="5">
        <v>6</v>
      </c>
      <c r="O23" s="37">
        <v>5</v>
      </c>
      <c r="P23" s="39">
        <f t="shared" si="2"/>
        <v>77</v>
      </c>
      <c r="Q23" s="40" t="s">
        <v>223</v>
      </c>
    </row>
    <row r="24" spans="1:17" hidden="1" x14ac:dyDescent="0.15">
      <c r="A24" s="49" t="s">
        <v>155</v>
      </c>
      <c r="B24" s="16">
        <v>4</v>
      </c>
      <c r="C24" s="2">
        <v>6</v>
      </c>
      <c r="D24" s="5">
        <v>3</v>
      </c>
      <c r="E24" s="2">
        <v>7</v>
      </c>
      <c r="F24" s="5">
        <v>7</v>
      </c>
      <c r="G24" s="2">
        <v>5</v>
      </c>
      <c r="H24" s="5">
        <v>7</v>
      </c>
      <c r="I24" s="2">
        <v>5</v>
      </c>
      <c r="J24" s="5">
        <v>7</v>
      </c>
      <c r="K24" s="2">
        <v>2</v>
      </c>
      <c r="L24" s="5">
        <v>7</v>
      </c>
      <c r="M24" s="2">
        <v>5</v>
      </c>
      <c r="N24" s="5">
        <v>7</v>
      </c>
      <c r="O24" s="37">
        <v>4</v>
      </c>
      <c r="P24" s="39">
        <f t="shared" si="2"/>
        <v>76</v>
      </c>
      <c r="Q24" s="40" t="s">
        <v>223</v>
      </c>
    </row>
    <row r="25" spans="1:17" hidden="1" x14ac:dyDescent="0.15">
      <c r="A25" s="49" t="s">
        <v>156</v>
      </c>
      <c r="B25" s="16">
        <v>5</v>
      </c>
      <c r="C25" s="2">
        <v>6</v>
      </c>
      <c r="D25" s="5">
        <v>6</v>
      </c>
      <c r="E25" s="2">
        <v>7</v>
      </c>
      <c r="F25" s="5">
        <v>5</v>
      </c>
      <c r="G25" s="2">
        <v>5</v>
      </c>
      <c r="H25" s="5">
        <v>7</v>
      </c>
      <c r="I25" s="2">
        <v>7</v>
      </c>
      <c r="J25" s="5">
        <v>1</v>
      </c>
      <c r="K25" s="2">
        <v>6</v>
      </c>
      <c r="L25" s="5">
        <v>5</v>
      </c>
      <c r="M25" s="2">
        <v>3</v>
      </c>
      <c r="N25" s="5">
        <v>6</v>
      </c>
      <c r="O25" s="37">
        <v>6</v>
      </c>
      <c r="P25" s="39">
        <f t="shared" si="2"/>
        <v>75</v>
      </c>
      <c r="Q25" s="40" t="s">
        <v>223</v>
      </c>
    </row>
    <row r="26" spans="1:17" hidden="1" x14ac:dyDescent="0.15">
      <c r="A26" s="49" t="s">
        <v>157</v>
      </c>
      <c r="B26" s="16">
        <v>7</v>
      </c>
      <c r="C26" s="2">
        <v>4</v>
      </c>
      <c r="D26" s="5">
        <v>4</v>
      </c>
      <c r="E26" s="2">
        <v>3</v>
      </c>
      <c r="F26" s="5">
        <v>5</v>
      </c>
      <c r="G26" s="2">
        <v>5</v>
      </c>
      <c r="H26" s="5">
        <v>7</v>
      </c>
      <c r="I26" s="2">
        <v>7</v>
      </c>
      <c r="J26" s="5">
        <v>7</v>
      </c>
      <c r="K26" s="2">
        <v>6</v>
      </c>
      <c r="L26" s="5">
        <v>3</v>
      </c>
      <c r="M26" s="2">
        <v>5</v>
      </c>
      <c r="N26" s="5">
        <v>7</v>
      </c>
      <c r="O26" s="37">
        <v>5</v>
      </c>
      <c r="P26" s="39">
        <f t="shared" si="2"/>
        <v>75</v>
      </c>
      <c r="Q26" s="40" t="s">
        <v>223</v>
      </c>
    </row>
    <row r="27" spans="1:17" hidden="1" x14ac:dyDescent="0.15">
      <c r="A27" s="49" t="s">
        <v>158</v>
      </c>
      <c r="B27" s="14">
        <v>5</v>
      </c>
      <c r="C27" s="14">
        <v>7</v>
      </c>
      <c r="D27" s="14">
        <v>3</v>
      </c>
      <c r="E27" s="14">
        <v>5</v>
      </c>
      <c r="F27" s="14">
        <v>5</v>
      </c>
      <c r="G27" s="14">
        <v>3</v>
      </c>
      <c r="H27" s="14">
        <v>7</v>
      </c>
      <c r="I27" s="14">
        <v>4</v>
      </c>
      <c r="J27" s="14">
        <v>7</v>
      </c>
      <c r="K27" s="14">
        <v>7</v>
      </c>
      <c r="L27" s="14">
        <v>7</v>
      </c>
      <c r="M27" s="14">
        <v>5</v>
      </c>
      <c r="N27" s="14">
        <v>5</v>
      </c>
      <c r="O27" s="14">
        <v>5</v>
      </c>
      <c r="P27" s="39">
        <f t="shared" si="2"/>
        <v>75</v>
      </c>
      <c r="Q27" s="40" t="s">
        <v>223</v>
      </c>
    </row>
    <row r="28" spans="1:17" hidden="1" x14ac:dyDescent="0.15">
      <c r="A28" s="49" t="s">
        <v>159</v>
      </c>
      <c r="B28" s="16">
        <v>7</v>
      </c>
      <c r="C28" s="2">
        <v>4</v>
      </c>
      <c r="D28" s="5">
        <v>7</v>
      </c>
      <c r="E28" s="2">
        <v>7</v>
      </c>
      <c r="F28" s="5">
        <v>2</v>
      </c>
      <c r="G28" s="2">
        <v>4</v>
      </c>
      <c r="H28" s="5">
        <v>4</v>
      </c>
      <c r="I28" s="2">
        <v>4</v>
      </c>
      <c r="J28" s="5">
        <v>7</v>
      </c>
      <c r="K28" s="2">
        <v>6</v>
      </c>
      <c r="L28" s="5">
        <v>6</v>
      </c>
      <c r="M28" s="2">
        <v>5</v>
      </c>
      <c r="N28" s="5">
        <v>6</v>
      </c>
      <c r="O28" s="37">
        <v>5</v>
      </c>
      <c r="P28" s="39">
        <f t="shared" si="2"/>
        <v>74</v>
      </c>
      <c r="Q28" s="40" t="s">
        <v>223</v>
      </c>
    </row>
    <row r="29" spans="1:17" hidden="1" x14ac:dyDescent="0.15">
      <c r="A29" s="49" t="s">
        <v>160</v>
      </c>
      <c r="B29" s="16">
        <v>5</v>
      </c>
      <c r="C29" s="2">
        <v>1</v>
      </c>
      <c r="D29" s="5">
        <v>4</v>
      </c>
      <c r="E29" s="2">
        <v>6</v>
      </c>
      <c r="F29" s="5">
        <v>6</v>
      </c>
      <c r="G29" s="2">
        <v>5</v>
      </c>
      <c r="H29" s="5">
        <v>7</v>
      </c>
      <c r="I29" s="2">
        <v>6</v>
      </c>
      <c r="J29" s="5">
        <v>7</v>
      </c>
      <c r="K29" s="2">
        <v>7</v>
      </c>
      <c r="L29" s="5">
        <v>1</v>
      </c>
      <c r="M29" s="2">
        <v>6</v>
      </c>
      <c r="N29" s="5">
        <v>7</v>
      </c>
      <c r="O29" s="37">
        <v>6</v>
      </c>
      <c r="P29" s="39">
        <f t="shared" si="2"/>
        <v>74</v>
      </c>
      <c r="Q29" s="40" t="s">
        <v>223</v>
      </c>
    </row>
    <row r="30" spans="1:17" hidden="1" x14ac:dyDescent="0.15">
      <c r="A30" s="49" t="s">
        <v>210</v>
      </c>
      <c r="B30" s="16">
        <v>7</v>
      </c>
      <c r="C30" s="2">
        <v>1</v>
      </c>
      <c r="D30" s="5">
        <v>4</v>
      </c>
      <c r="E30" s="2">
        <v>5</v>
      </c>
      <c r="F30" s="5">
        <v>6</v>
      </c>
      <c r="G30" s="2">
        <v>5</v>
      </c>
      <c r="H30" s="5">
        <v>7</v>
      </c>
      <c r="I30" s="2">
        <v>5</v>
      </c>
      <c r="J30" s="5">
        <v>7</v>
      </c>
      <c r="K30" s="2">
        <v>7</v>
      </c>
      <c r="L30" s="5">
        <v>4</v>
      </c>
      <c r="M30" s="2">
        <v>4</v>
      </c>
      <c r="N30" s="5">
        <v>7</v>
      </c>
      <c r="O30" s="37">
        <v>5</v>
      </c>
      <c r="P30" s="39">
        <f t="shared" si="2"/>
        <v>74</v>
      </c>
      <c r="Q30" s="40" t="s">
        <v>223</v>
      </c>
    </row>
    <row r="31" spans="1:17" hidden="1" x14ac:dyDescent="0.15">
      <c r="A31" s="49" t="s">
        <v>161</v>
      </c>
      <c r="B31" s="16">
        <v>4</v>
      </c>
      <c r="C31" s="2">
        <v>4</v>
      </c>
      <c r="D31" s="5">
        <v>5</v>
      </c>
      <c r="E31" s="2">
        <v>5</v>
      </c>
      <c r="F31" s="5">
        <v>2</v>
      </c>
      <c r="G31" s="2">
        <v>6</v>
      </c>
      <c r="H31" s="5">
        <v>7</v>
      </c>
      <c r="I31" s="2">
        <v>7</v>
      </c>
      <c r="J31" s="5">
        <v>4</v>
      </c>
      <c r="K31" s="2">
        <v>5</v>
      </c>
      <c r="L31" s="5">
        <v>7</v>
      </c>
      <c r="M31" s="2">
        <v>6</v>
      </c>
      <c r="N31" s="5">
        <v>5</v>
      </c>
      <c r="O31" s="37">
        <v>4</v>
      </c>
      <c r="P31" s="39">
        <f t="shared" si="2"/>
        <v>71</v>
      </c>
      <c r="Q31" s="40" t="s">
        <v>223</v>
      </c>
    </row>
    <row r="32" spans="1:17" hidden="1" x14ac:dyDescent="0.15">
      <c r="A32" s="49" t="s">
        <v>162</v>
      </c>
      <c r="B32" s="16">
        <v>3</v>
      </c>
      <c r="C32" s="2">
        <v>7</v>
      </c>
      <c r="D32" s="5">
        <v>7</v>
      </c>
      <c r="E32" s="2">
        <v>6</v>
      </c>
      <c r="F32" s="5">
        <v>5</v>
      </c>
      <c r="G32" s="2">
        <v>6</v>
      </c>
      <c r="H32" s="5">
        <v>5</v>
      </c>
      <c r="I32" s="2">
        <v>4</v>
      </c>
      <c r="J32" s="5">
        <v>7</v>
      </c>
      <c r="K32" s="2">
        <v>5</v>
      </c>
      <c r="L32" s="5">
        <v>1</v>
      </c>
      <c r="M32" s="2">
        <v>3</v>
      </c>
      <c r="N32" s="5">
        <v>5</v>
      </c>
      <c r="O32" s="37">
        <v>7</v>
      </c>
      <c r="P32" s="39">
        <f t="shared" si="2"/>
        <v>71</v>
      </c>
      <c r="Q32" s="40" t="s">
        <v>223</v>
      </c>
    </row>
    <row r="33" spans="1:17" hidden="1" x14ac:dyDescent="0.15">
      <c r="A33" s="49" t="s">
        <v>163</v>
      </c>
      <c r="B33" s="16">
        <v>6</v>
      </c>
      <c r="C33" s="2">
        <v>1</v>
      </c>
      <c r="D33" s="5">
        <v>6</v>
      </c>
      <c r="E33" s="2">
        <v>4</v>
      </c>
      <c r="F33" s="5">
        <v>6</v>
      </c>
      <c r="G33" s="2">
        <v>5</v>
      </c>
      <c r="H33" s="5">
        <v>7</v>
      </c>
      <c r="I33" s="2">
        <v>3</v>
      </c>
      <c r="J33" s="5">
        <v>7</v>
      </c>
      <c r="K33" s="2">
        <v>4</v>
      </c>
      <c r="L33" s="5">
        <v>3</v>
      </c>
      <c r="M33" s="2">
        <v>5</v>
      </c>
      <c r="N33" s="5">
        <v>7</v>
      </c>
      <c r="O33" s="37">
        <v>5</v>
      </c>
      <c r="P33" s="39">
        <f t="shared" si="2"/>
        <v>69</v>
      </c>
      <c r="Q33" s="40" t="s">
        <v>223</v>
      </c>
    </row>
    <row r="34" spans="1:17" hidden="1" x14ac:dyDescent="0.15">
      <c r="A34" s="49" t="s">
        <v>164</v>
      </c>
      <c r="B34" s="16">
        <v>7</v>
      </c>
      <c r="C34" s="2">
        <v>1</v>
      </c>
      <c r="D34" s="5">
        <v>5</v>
      </c>
      <c r="E34" s="2">
        <v>5</v>
      </c>
      <c r="F34" s="5">
        <v>2</v>
      </c>
      <c r="G34" s="2">
        <v>4</v>
      </c>
      <c r="H34" s="5">
        <v>7</v>
      </c>
      <c r="I34" s="2">
        <v>7</v>
      </c>
      <c r="J34" s="5">
        <v>7</v>
      </c>
      <c r="K34" s="2">
        <v>7</v>
      </c>
      <c r="L34" s="5">
        <v>3</v>
      </c>
      <c r="M34" s="2">
        <v>3</v>
      </c>
      <c r="N34" s="5">
        <v>5</v>
      </c>
      <c r="O34" s="37">
        <v>4</v>
      </c>
      <c r="P34" s="39">
        <f t="shared" si="2"/>
        <v>67</v>
      </c>
      <c r="Q34" s="40" t="s">
        <v>223</v>
      </c>
    </row>
    <row r="35" spans="1:17" hidden="1" x14ac:dyDescent="0.15">
      <c r="A35" s="49" t="s">
        <v>165</v>
      </c>
      <c r="B35" s="16">
        <v>7</v>
      </c>
      <c r="C35" s="2">
        <v>1</v>
      </c>
      <c r="D35" s="5">
        <v>7</v>
      </c>
      <c r="E35" s="2">
        <v>3</v>
      </c>
      <c r="F35" s="5">
        <v>2</v>
      </c>
      <c r="G35" s="2">
        <v>4</v>
      </c>
      <c r="H35" s="5">
        <v>7</v>
      </c>
      <c r="I35" s="2">
        <v>7</v>
      </c>
      <c r="J35" s="5">
        <v>4</v>
      </c>
      <c r="K35" s="2">
        <v>7</v>
      </c>
      <c r="L35" s="5">
        <v>1</v>
      </c>
      <c r="M35" s="2">
        <v>5</v>
      </c>
      <c r="N35" s="5">
        <v>5</v>
      </c>
      <c r="O35" s="37">
        <v>5</v>
      </c>
      <c r="P35" s="39">
        <f t="shared" si="2"/>
        <v>65</v>
      </c>
      <c r="Q35" s="40" t="s">
        <v>223</v>
      </c>
    </row>
    <row r="36" spans="1:17" hidden="1" x14ac:dyDescent="0.15">
      <c r="A36" s="30" t="s">
        <v>172</v>
      </c>
      <c r="B36" s="16">
        <v>4</v>
      </c>
      <c r="C36" s="2">
        <v>5</v>
      </c>
      <c r="D36" s="5">
        <v>6</v>
      </c>
      <c r="E36" s="2">
        <v>4</v>
      </c>
      <c r="F36" s="5">
        <v>3</v>
      </c>
      <c r="G36" s="2">
        <v>5</v>
      </c>
      <c r="H36" s="5">
        <v>7</v>
      </c>
      <c r="I36" s="2">
        <v>4</v>
      </c>
      <c r="J36" s="5">
        <v>7</v>
      </c>
      <c r="K36" s="2">
        <v>6</v>
      </c>
      <c r="L36" s="5">
        <v>1</v>
      </c>
      <c r="M36" s="2">
        <v>4</v>
      </c>
      <c r="N36" s="5">
        <v>1</v>
      </c>
      <c r="O36" s="37">
        <v>7</v>
      </c>
      <c r="P36" s="39">
        <f t="shared" si="2"/>
        <v>64</v>
      </c>
      <c r="Q36" s="40" t="s">
        <v>223</v>
      </c>
    </row>
    <row r="37" spans="1:17" hidden="1" x14ac:dyDescent="0.15">
      <c r="A37" s="30" t="s">
        <v>166</v>
      </c>
      <c r="B37" s="16">
        <v>2</v>
      </c>
      <c r="C37" s="2">
        <v>1</v>
      </c>
      <c r="D37" s="5">
        <v>1</v>
      </c>
      <c r="E37" s="2">
        <v>7</v>
      </c>
      <c r="F37" s="5">
        <v>6</v>
      </c>
      <c r="G37" s="2">
        <v>3</v>
      </c>
      <c r="H37" s="5">
        <v>6</v>
      </c>
      <c r="I37" s="2">
        <v>6</v>
      </c>
      <c r="J37" s="5">
        <v>7</v>
      </c>
      <c r="K37" s="2">
        <v>7</v>
      </c>
      <c r="L37" s="5">
        <v>4</v>
      </c>
      <c r="M37" s="2">
        <v>6</v>
      </c>
      <c r="N37" s="5">
        <v>3</v>
      </c>
      <c r="O37" s="37">
        <v>5</v>
      </c>
      <c r="P37" s="39">
        <f t="shared" si="2"/>
        <v>64</v>
      </c>
      <c r="Q37" s="40" t="s">
        <v>223</v>
      </c>
    </row>
    <row r="38" spans="1:17" hidden="1" x14ac:dyDescent="0.15">
      <c r="A38" s="30" t="s">
        <v>167</v>
      </c>
      <c r="B38" s="16">
        <v>1</v>
      </c>
      <c r="C38" s="2">
        <v>5</v>
      </c>
      <c r="D38" s="5">
        <v>5</v>
      </c>
      <c r="E38" s="2">
        <v>5</v>
      </c>
      <c r="F38" s="5">
        <v>4</v>
      </c>
      <c r="G38" s="2">
        <v>4</v>
      </c>
      <c r="H38" s="5">
        <v>7</v>
      </c>
      <c r="I38" s="2">
        <v>7</v>
      </c>
      <c r="J38" s="5">
        <v>7</v>
      </c>
      <c r="K38" s="2">
        <v>6</v>
      </c>
      <c r="L38" s="5">
        <v>2</v>
      </c>
      <c r="M38" s="2">
        <v>3</v>
      </c>
      <c r="N38" s="5">
        <v>4</v>
      </c>
      <c r="O38" s="37">
        <v>3</v>
      </c>
      <c r="P38" s="39">
        <f t="shared" si="2"/>
        <v>63</v>
      </c>
      <c r="Q38" s="40" t="s">
        <v>223</v>
      </c>
    </row>
    <row r="39" spans="1:17" hidden="1" x14ac:dyDescent="0.15">
      <c r="A39" s="48" t="s">
        <v>209</v>
      </c>
      <c r="B39" s="16">
        <v>5</v>
      </c>
      <c r="C39" s="2">
        <v>1</v>
      </c>
      <c r="D39" s="5">
        <v>4</v>
      </c>
      <c r="E39" s="2">
        <v>1</v>
      </c>
      <c r="F39" s="5">
        <v>3</v>
      </c>
      <c r="G39" s="2">
        <v>3</v>
      </c>
      <c r="H39" s="5">
        <v>7</v>
      </c>
      <c r="I39" s="2">
        <v>4</v>
      </c>
      <c r="J39" s="5">
        <v>7</v>
      </c>
      <c r="K39" s="2">
        <v>6</v>
      </c>
      <c r="L39" s="5">
        <v>1</v>
      </c>
      <c r="M39" s="2">
        <v>5</v>
      </c>
      <c r="N39" s="5">
        <v>3</v>
      </c>
      <c r="O39" s="37">
        <v>5</v>
      </c>
      <c r="P39" s="39">
        <f t="shared" si="2"/>
        <v>55</v>
      </c>
      <c r="Q39" s="40" t="s">
        <v>223</v>
      </c>
    </row>
    <row r="40" spans="1:17" hidden="1" x14ac:dyDescent="0.15">
      <c r="A40" s="49" t="s">
        <v>168</v>
      </c>
      <c r="B40" s="16">
        <v>7</v>
      </c>
      <c r="C40" s="2">
        <v>1</v>
      </c>
      <c r="D40" s="5">
        <v>1</v>
      </c>
      <c r="E40" s="2">
        <v>5</v>
      </c>
      <c r="F40" s="5">
        <v>3</v>
      </c>
      <c r="G40" s="2">
        <v>5</v>
      </c>
      <c r="H40" s="5">
        <v>2</v>
      </c>
      <c r="I40" s="2">
        <v>4</v>
      </c>
      <c r="J40" s="5">
        <v>7</v>
      </c>
      <c r="K40" s="2">
        <v>2</v>
      </c>
      <c r="L40" s="5">
        <v>1</v>
      </c>
      <c r="M40" s="2">
        <v>4</v>
      </c>
      <c r="N40" s="5">
        <v>3</v>
      </c>
      <c r="O40" s="37">
        <v>3</v>
      </c>
      <c r="P40" s="39">
        <f t="shared" si="2"/>
        <v>48</v>
      </c>
      <c r="Q40" s="40" t="s">
        <v>223</v>
      </c>
    </row>
  </sheetData>
  <autoFilter ref="Q1:Q40" xr:uid="{6C774222-05C4-7640-B58F-B82734254DB2}">
    <filterColumn colId="0">
      <filters>
        <filter val="Active"/>
      </filters>
    </filterColumn>
  </autoFilter>
  <sortState xmlns:xlrd2="http://schemas.microsoft.com/office/spreadsheetml/2017/richdata2" ref="A2:P43">
    <sortCondition descending="1" ref="P2:P43"/>
  </sortState>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C57B-DDBA-3743-9FB3-0D32FCF68AAF}">
  <dimension ref="A1:Q28"/>
  <sheetViews>
    <sheetView zoomScaleNormal="100" workbookViewId="0">
      <selection activeCell="A8" sqref="A8"/>
    </sheetView>
  </sheetViews>
  <sheetFormatPr defaultColWidth="11.4609375" defaultRowHeight="12.75" x14ac:dyDescent="0.15"/>
  <cols>
    <col min="1" max="1" width="50.83984375" style="54" customWidth="1"/>
    <col min="2" max="14" width="0" style="35" hidden="1" customWidth="1"/>
    <col min="15" max="15" width="1.75" style="35" hidden="1" customWidth="1"/>
    <col min="16" max="16" width="21.98046875" style="35" bestFit="1" customWidth="1"/>
    <col min="17" max="17" width="19.01171875" style="35" bestFit="1" customWidth="1"/>
    <col min="18" max="16384" width="11.4609375" style="35"/>
  </cols>
  <sheetData>
    <row r="1" spans="1:17" ht="13.5" x14ac:dyDescent="0.15">
      <c r="A1" s="30"/>
      <c r="B1" s="56"/>
      <c r="C1" s="56"/>
      <c r="D1" s="56"/>
      <c r="E1" s="56"/>
      <c r="F1" s="56"/>
      <c r="G1" s="56"/>
      <c r="H1" s="56"/>
      <c r="I1" s="56"/>
      <c r="J1" s="56"/>
      <c r="K1" s="56"/>
      <c r="L1" s="56"/>
      <c r="M1" s="56"/>
      <c r="N1" s="56"/>
      <c r="O1" s="56"/>
      <c r="P1" s="50" t="s">
        <v>224</v>
      </c>
      <c r="Q1" s="50" t="s">
        <v>225</v>
      </c>
    </row>
    <row r="2" spans="1:17" ht="117.75" x14ac:dyDescent="0.15">
      <c r="A2" s="34" t="s">
        <v>174</v>
      </c>
      <c r="B2" s="53">
        <v>7</v>
      </c>
      <c r="C2" s="53">
        <v>5</v>
      </c>
      <c r="D2" s="53">
        <v>6</v>
      </c>
      <c r="E2" s="53">
        <v>7</v>
      </c>
      <c r="F2" s="53">
        <v>4</v>
      </c>
      <c r="G2" s="53">
        <v>7</v>
      </c>
      <c r="H2" s="53">
        <v>7</v>
      </c>
      <c r="I2" s="53">
        <v>6</v>
      </c>
      <c r="J2" s="53">
        <v>7</v>
      </c>
      <c r="K2" s="53">
        <v>7</v>
      </c>
      <c r="L2" s="53">
        <v>7</v>
      </c>
      <c r="M2" s="53">
        <v>4</v>
      </c>
      <c r="N2" s="53">
        <v>7</v>
      </c>
      <c r="O2" s="53">
        <v>6</v>
      </c>
      <c r="P2" s="39">
        <f t="shared" ref="P2:P19" si="0">SUM(B2:O2)</f>
        <v>87</v>
      </c>
      <c r="Q2" s="57" t="s">
        <v>222</v>
      </c>
    </row>
    <row r="3" spans="1:17" ht="35.25" x14ac:dyDescent="0.15">
      <c r="A3" s="55" t="s">
        <v>175</v>
      </c>
      <c r="B3" s="53">
        <v>3</v>
      </c>
      <c r="C3" s="53">
        <v>6</v>
      </c>
      <c r="D3" s="53">
        <v>6</v>
      </c>
      <c r="E3" s="53">
        <v>7</v>
      </c>
      <c r="F3" s="53">
        <v>5</v>
      </c>
      <c r="G3" s="53">
        <v>7</v>
      </c>
      <c r="H3" s="53">
        <v>7</v>
      </c>
      <c r="I3" s="53">
        <v>6</v>
      </c>
      <c r="J3" s="53">
        <v>7</v>
      </c>
      <c r="K3" s="53">
        <v>6</v>
      </c>
      <c r="L3" s="53">
        <v>7</v>
      </c>
      <c r="M3" s="53">
        <v>5</v>
      </c>
      <c r="N3" s="53">
        <v>7</v>
      </c>
      <c r="O3" s="53">
        <v>5</v>
      </c>
      <c r="P3" s="39">
        <f t="shared" si="0"/>
        <v>84</v>
      </c>
      <c r="Q3" s="57" t="s">
        <v>222</v>
      </c>
    </row>
    <row r="4" spans="1:17" ht="37.5" x14ac:dyDescent="0.15">
      <c r="A4" s="55" t="s">
        <v>211</v>
      </c>
      <c r="B4" s="53">
        <v>7</v>
      </c>
      <c r="C4" s="53">
        <v>5</v>
      </c>
      <c r="D4" s="53">
        <v>5</v>
      </c>
      <c r="E4" s="53">
        <v>4</v>
      </c>
      <c r="F4" s="53">
        <v>6</v>
      </c>
      <c r="G4" s="53">
        <v>6</v>
      </c>
      <c r="H4" s="53">
        <v>7</v>
      </c>
      <c r="I4" s="53">
        <v>6</v>
      </c>
      <c r="J4" s="53">
        <v>7</v>
      </c>
      <c r="K4" s="53">
        <v>7</v>
      </c>
      <c r="L4" s="53">
        <v>7</v>
      </c>
      <c r="M4" s="53">
        <v>5</v>
      </c>
      <c r="N4" s="53">
        <v>6</v>
      </c>
      <c r="O4" s="53">
        <v>5</v>
      </c>
      <c r="P4" s="39">
        <f t="shared" si="0"/>
        <v>83</v>
      </c>
      <c r="Q4" s="57" t="s">
        <v>222</v>
      </c>
    </row>
    <row r="5" spans="1:17" ht="58.5" x14ac:dyDescent="0.15">
      <c r="A5" s="55" t="s">
        <v>212</v>
      </c>
      <c r="B5" s="53">
        <v>7</v>
      </c>
      <c r="C5" s="53">
        <v>5</v>
      </c>
      <c r="D5" s="53">
        <v>7</v>
      </c>
      <c r="E5" s="53">
        <v>3</v>
      </c>
      <c r="F5" s="53">
        <v>4</v>
      </c>
      <c r="G5" s="53">
        <v>6</v>
      </c>
      <c r="H5" s="53">
        <v>7</v>
      </c>
      <c r="I5" s="53">
        <v>7</v>
      </c>
      <c r="J5" s="53">
        <v>7</v>
      </c>
      <c r="K5" s="53">
        <v>7</v>
      </c>
      <c r="L5" s="53">
        <v>6</v>
      </c>
      <c r="M5" s="53">
        <v>5</v>
      </c>
      <c r="N5" s="53">
        <v>7</v>
      </c>
      <c r="O5" s="53">
        <v>5</v>
      </c>
      <c r="P5" s="39">
        <f t="shared" si="0"/>
        <v>83</v>
      </c>
      <c r="Q5" s="57" t="s">
        <v>222</v>
      </c>
    </row>
    <row r="6" spans="1:17" ht="35.25" x14ac:dyDescent="0.15">
      <c r="A6" s="55" t="s">
        <v>177</v>
      </c>
      <c r="B6" s="53">
        <v>6</v>
      </c>
      <c r="C6" s="53">
        <v>7</v>
      </c>
      <c r="D6" s="53">
        <v>7</v>
      </c>
      <c r="E6" s="53">
        <v>7</v>
      </c>
      <c r="F6" s="53">
        <v>4</v>
      </c>
      <c r="G6" s="53">
        <v>7</v>
      </c>
      <c r="H6" s="53">
        <v>6</v>
      </c>
      <c r="I6" s="53">
        <v>5</v>
      </c>
      <c r="J6" s="53">
        <v>7</v>
      </c>
      <c r="K6" s="53">
        <v>7</v>
      </c>
      <c r="L6" s="53">
        <v>1</v>
      </c>
      <c r="M6" s="53">
        <v>5</v>
      </c>
      <c r="N6" s="53">
        <v>7</v>
      </c>
      <c r="O6" s="53">
        <v>6</v>
      </c>
      <c r="P6" s="39">
        <f t="shared" si="0"/>
        <v>82</v>
      </c>
      <c r="Q6" s="57" t="s">
        <v>222</v>
      </c>
    </row>
    <row r="7" spans="1:17" ht="24" x14ac:dyDescent="0.15">
      <c r="A7" s="30" t="s">
        <v>178</v>
      </c>
      <c r="B7" s="53">
        <v>7</v>
      </c>
      <c r="C7" s="53">
        <v>5</v>
      </c>
      <c r="D7" s="53">
        <v>5</v>
      </c>
      <c r="E7" s="53">
        <v>5</v>
      </c>
      <c r="F7" s="53">
        <v>3</v>
      </c>
      <c r="G7" s="53">
        <v>6</v>
      </c>
      <c r="H7" s="53">
        <v>7</v>
      </c>
      <c r="I7" s="53">
        <v>6</v>
      </c>
      <c r="J7" s="53">
        <v>7</v>
      </c>
      <c r="K7" s="53">
        <v>7</v>
      </c>
      <c r="L7" s="53">
        <v>7</v>
      </c>
      <c r="M7" s="53">
        <v>5</v>
      </c>
      <c r="N7" s="53">
        <v>7</v>
      </c>
      <c r="O7" s="53">
        <v>5</v>
      </c>
      <c r="P7" s="39">
        <f t="shared" si="0"/>
        <v>82</v>
      </c>
      <c r="Q7" s="57" t="s">
        <v>222</v>
      </c>
    </row>
    <row r="8" spans="1:17" ht="95.25" x14ac:dyDescent="0.15">
      <c r="A8" s="52" t="s">
        <v>179</v>
      </c>
      <c r="B8" s="53">
        <v>7</v>
      </c>
      <c r="C8" s="53">
        <v>5</v>
      </c>
      <c r="D8" s="53">
        <v>4</v>
      </c>
      <c r="E8" s="53">
        <v>6</v>
      </c>
      <c r="F8" s="53">
        <v>5</v>
      </c>
      <c r="G8" s="53">
        <v>7</v>
      </c>
      <c r="H8" s="53">
        <v>5</v>
      </c>
      <c r="I8" s="53">
        <v>7</v>
      </c>
      <c r="J8" s="53">
        <v>7</v>
      </c>
      <c r="K8" s="53">
        <v>7</v>
      </c>
      <c r="L8" s="53">
        <v>1</v>
      </c>
      <c r="M8" s="53">
        <v>5</v>
      </c>
      <c r="N8" s="53">
        <v>7</v>
      </c>
      <c r="O8" s="53">
        <v>6</v>
      </c>
      <c r="P8" s="39">
        <f t="shared" si="0"/>
        <v>79</v>
      </c>
      <c r="Q8" s="57" t="s">
        <v>222</v>
      </c>
    </row>
    <row r="9" spans="1:17" ht="35.25" x14ac:dyDescent="0.15">
      <c r="A9" s="55" t="s">
        <v>180</v>
      </c>
      <c r="B9" s="53">
        <v>6</v>
      </c>
      <c r="C9" s="53">
        <v>5</v>
      </c>
      <c r="D9" s="53">
        <v>7</v>
      </c>
      <c r="E9" s="53">
        <v>7</v>
      </c>
      <c r="F9" s="53">
        <v>5</v>
      </c>
      <c r="G9" s="53">
        <v>7</v>
      </c>
      <c r="H9" s="53">
        <v>5</v>
      </c>
      <c r="I9" s="53">
        <v>6</v>
      </c>
      <c r="J9" s="53">
        <v>7</v>
      </c>
      <c r="K9" s="53">
        <v>6</v>
      </c>
      <c r="L9" s="53">
        <v>3</v>
      </c>
      <c r="M9" s="53">
        <v>3</v>
      </c>
      <c r="N9" s="53">
        <v>7</v>
      </c>
      <c r="O9" s="53">
        <v>5</v>
      </c>
      <c r="P9" s="39">
        <f t="shared" si="0"/>
        <v>79</v>
      </c>
      <c r="Q9" s="57" t="s">
        <v>222</v>
      </c>
    </row>
    <row r="10" spans="1:17" ht="24" x14ac:dyDescent="0.15">
      <c r="A10" s="55" t="s">
        <v>181</v>
      </c>
      <c r="B10" s="53">
        <v>1</v>
      </c>
      <c r="C10" s="53">
        <v>7</v>
      </c>
      <c r="D10" s="53">
        <v>7</v>
      </c>
      <c r="E10" s="53">
        <v>6</v>
      </c>
      <c r="F10" s="53">
        <v>5</v>
      </c>
      <c r="G10" s="53">
        <v>4</v>
      </c>
      <c r="H10" s="53">
        <v>7</v>
      </c>
      <c r="I10" s="53">
        <v>7</v>
      </c>
      <c r="J10" s="53">
        <v>7</v>
      </c>
      <c r="K10" s="53">
        <v>7</v>
      </c>
      <c r="L10" s="53">
        <v>7</v>
      </c>
      <c r="M10" s="53">
        <v>6</v>
      </c>
      <c r="N10" s="53">
        <v>3</v>
      </c>
      <c r="O10" s="53">
        <v>4</v>
      </c>
      <c r="P10" s="39">
        <f t="shared" si="0"/>
        <v>78</v>
      </c>
      <c r="Q10" s="57" t="s">
        <v>222</v>
      </c>
    </row>
    <row r="11" spans="1:17" ht="72" x14ac:dyDescent="0.15">
      <c r="A11" s="52" t="s">
        <v>182</v>
      </c>
      <c r="B11" s="53">
        <v>6</v>
      </c>
      <c r="C11" s="53">
        <v>5</v>
      </c>
      <c r="D11" s="53">
        <v>4</v>
      </c>
      <c r="E11" s="53">
        <v>5</v>
      </c>
      <c r="F11" s="53">
        <v>4</v>
      </c>
      <c r="G11" s="53">
        <v>7</v>
      </c>
      <c r="H11" s="53">
        <v>5</v>
      </c>
      <c r="I11" s="53">
        <v>5</v>
      </c>
      <c r="J11" s="53">
        <v>7</v>
      </c>
      <c r="K11" s="53">
        <v>6</v>
      </c>
      <c r="L11" s="53">
        <v>7</v>
      </c>
      <c r="M11" s="53">
        <v>4</v>
      </c>
      <c r="N11" s="53">
        <v>6</v>
      </c>
      <c r="O11" s="53">
        <v>6</v>
      </c>
      <c r="P11" s="39">
        <f t="shared" si="0"/>
        <v>77</v>
      </c>
      <c r="Q11" s="57" t="s">
        <v>223</v>
      </c>
    </row>
    <row r="12" spans="1:17" ht="48.75" x14ac:dyDescent="0.15">
      <c r="A12" s="55" t="s">
        <v>213</v>
      </c>
      <c r="B12" s="53">
        <v>6</v>
      </c>
      <c r="C12" s="53">
        <v>3</v>
      </c>
      <c r="D12" s="53">
        <v>5</v>
      </c>
      <c r="E12" s="53">
        <v>5</v>
      </c>
      <c r="F12" s="53">
        <v>7</v>
      </c>
      <c r="G12" s="53">
        <v>7</v>
      </c>
      <c r="H12" s="53">
        <v>7</v>
      </c>
      <c r="I12" s="53">
        <v>6</v>
      </c>
      <c r="J12" s="53">
        <v>4</v>
      </c>
      <c r="K12" s="53">
        <v>7</v>
      </c>
      <c r="L12" s="53">
        <v>5</v>
      </c>
      <c r="M12" s="53">
        <v>3</v>
      </c>
      <c r="N12" s="53">
        <v>6</v>
      </c>
      <c r="O12" s="53">
        <v>5</v>
      </c>
      <c r="P12" s="39">
        <f t="shared" si="0"/>
        <v>76</v>
      </c>
      <c r="Q12" s="57" t="s">
        <v>223</v>
      </c>
    </row>
    <row r="13" spans="1:17" ht="35.25" x14ac:dyDescent="0.15">
      <c r="A13" s="55" t="s">
        <v>183</v>
      </c>
      <c r="B13" s="53">
        <v>2</v>
      </c>
      <c r="C13" s="53">
        <v>3</v>
      </c>
      <c r="D13" s="53">
        <v>7</v>
      </c>
      <c r="E13" s="53">
        <v>4</v>
      </c>
      <c r="F13" s="53">
        <v>7</v>
      </c>
      <c r="G13" s="53">
        <v>3</v>
      </c>
      <c r="H13" s="53">
        <v>7</v>
      </c>
      <c r="I13" s="53">
        <v>7</v>
      </c>
      <c r="J13" s="53">
        <v>7</v>
      </c>
      <c r="K13" s="53">
        <v>6</v>
      </c>
      <c r="L13" s="53">
        <v>5</v>
      </c>
      <c r="M13" s="53">
        <v>6</v>
      </c>
      <c r="N13" s="53">
        <v>6</v>
      </c>
      <c r="O13" s="53">
        <v>6</v>
      </c>
      <c r="P13" s="39">
        <f t="shared" si="0"/>
        <v>76</v>
      </c>
      <c r="Q13" s="57" t="s">
        <v>223</v>
      </c>
    </row>
    <row r="14" spans="1:17" ht="26.25" x14ac:dyDescent="0.15">
      <c r="A14" s="55" t="s">
        <v>214</v>
      </c>
      <c r="B14" s="53">
        <v>1</v>
      </c>
      <c r="C14" s="53">
        <v>6</v>
      </c>
      <c r="D14" s="53">
        <v>7</v>
      </c>
      <c r="E14" s="53">
        <v>7</v>
      </c>
      <c r="F14" s="53">
        <v>7</v>
      </c>
      <c r="G14" s="53">
        <v>6</v>
      </c>
      <c r="H14" s="53">
        <v>7</v>
      </c>
      <c r="I14" s="53">
        <v>5</v>
      </c>
      <c r="J14" s="53">
        <v>7</v>
      </c>
      <c r="K14" s="53">
        <v>6</v>
      </c>
      <c r="L14" s="53">
        <v>1</v>
      </c>
      <c r="M14" s="53">
        <v>5</v>
      </c>
      <c r="N14" s="53">
        <v>7</v>
      </c>
      <c r="O14" s="53">
        <v>4</v>
      </c>
      <c r="P14" s="39">
        <f t="shared" si="0"/>
        <v>76</v>
      </c>
      <c r="Q14" s="57" t="s">
        <v>223</v>
      </c>
    </row>
    <row r="15" spans="1:17" ht="48.75" x14ac:dyDescent="0.15">
      <c r="A15" s="55" t="s">
        <v>215</v>
      </c>
      <c r="B15" s="53">
        <v>3</v>
      </c>
      <c r="C15" s="53">
        <v>2</v>
      </c>
      <c r="D15" s="53">
        <v>3</v>
      </c>
      <c r="E15" s="53">
        <v>6</v>
      </c>
      <c r="F15" s="53">
        <v>5</v>
      </c>
      <c r="G15" s="53">
        <v>6</v>
      </c>
      <c r="H15" s="53">
        <v>7</v>
      </c>
      <c r="I15" s="53">
        <v>7</v>
      </c>
      <c r="J15" s="53">
        <v>7</v>
      </c>
      <c r="K15" s="53">
        <v>5</v>
      </c>
      <c r="L15" s="53">
        <v>7</v>
      </c>
      <c r="M15" s="53">
        <v>5</v>
      </c>
      <c r="N15" s="53">
        <v>6</v>
      </c>
      <c r="O15" s="53">
        <v>6</v>
      </c>
      <c r="P15" s="39">
        <f t="shared" si="0"/>
        <v>75</v>
      </c>
      <c r="Q15" s="57" t="s">
        <v>223</v>
      </c>
    </row>
    <row r="16" spans="1:17" ht="48.75" x14ac:dyDescent="0.15">
      <c r="A16" s="55" t="s">
        <v>216</v>
      </c>
      <c r="B16" s="53">
        <v>7</v>
      </c>
      <c r="C16" s="53">
        <v>4</v>
      </c>
      <c r="D16" s="53">
        <v>4</v>
      </c>
      <c r="E16" s="53">
        <v>5</v>
      </c>
      <c r="F16" s="53">
        <v>5</v>
      </c>
      <c r="G16" s="53">
        <v>7</v>
      </c>
      <c r="H16" s="53">
        <v>7</v>
      </c>
      <c r="I16" s="53">
        <v>5</v>
      </c>
      <c r="J16" s="53">
        <v>7</v>
      </c>
      <c r="K16" s="53">
        <v>3</v>
      </c>
      <c r="L16" s="53">
        <v>1</v>
      </c>
      <c r="M16" s="53">
        <v>6</v>
      </c>
      <c r="N16" s="53">
        <v>6</v>
      </c>
      <c r="O16" s="53">
        <v>6</v>
      </c>
      <c r="P16" s="39">
        <f t="shared" si="0"/>
        <v>73</v>
      </c>
      <c r="Q16" s="57" t="s">
        <v>223</v>
      </c>
    </row>
    <row r="17" spans="1:17" ht="24" x14ac:dyDescent="0.15">
      <c r="A17" s="30" t="s">
        <v>184</v>
      </c>
      <c r="B17" s="53">
        <v>3</v>
      </c>
      <c r="C17" s="53">
        <v>5</v>
      </c>
      <c r="D17" s="53">
        <v>7</v>
      </c>
      <c r="E17" s="53">
        <v>5</v>
      </c>
      <c r="F17" s="53">
        <v>5</v>
      </c>
      <c r="G17" s="53">
        <v>6</v>
      </c>
      <c r="H17" s="53">
        <v>6</v>
      </c>
      <c r="I17" s="53">
        <v>6</v>
      </c>
      <c r="J17" s="53">
        <v>7</v>
      </c>
      <c r="K17" s="53">
        <v>7</v>
      </c>
      <c r="L17" s="53">
        <v>1</v>
      </c>
      <c r="M17" s="53">
        <v>5</v>
      </c>
      <c r="N17" s="53">
        <v>5</v>
      </c>
      <c r="O17" s="53">
        <v>5</v>
      </c>
      <c r="P17" s="39">
        <f t="shared" si="0"/>
        <v>73</v>
      </c>
      <c r="Q17" s="57" t="s">
        <v>223</v>
      </c>
    </row>
    <row r="18" spans="1:17" ht="48.75" x14ac:dyDescent="0.15">
      <c r="A18" s="34" t="s">
        <v>185</v>
      </c>
      <c r="B18" s="53">
        <v>2</v>
      </c>
      <c r="C18" s="53">
        <v>5</v>
      </c>
      <c r="D18" s="53">
        <v>7</v>
      </c>
      <c r="E18" s="53">
        <v>5</v>
      </c>
      <c r="F18" s="53">
        <v>4</v>
      </c>
      <c r="G18" s="53">
        <v>4</v>
      </c>
      <c r="H18" s="53">
        <v>7</v>
      </c>
      <c r="I18" s="53">
        <v>7</v>
      </c>
      <c r="J18" s="53">
        <v>7</v>
      </c>
      <c r="K18" s="53">
        <v>6</v>
      </c>
      <c r="L18" s="53">
        <v>1</v>
      </c>
      <c r="M18" s="53">
        <v>6</v>
      </c>
      <c r="N18" s="53">
        <v>3</v>
      </c>
      <c r="O18" s="53">
        <v>5</v>
      </c>
      <c r="P18" s="39">
        <f t="shared" si="0"/>
        <v>69</v>
      </c>
      <c r="Q18" s="57" t="s">
        <v>223</v>
      </c>
    </row>
    <row r="19" spans="1:17" ht="69.75" x14ac:dyDescent="0.15">
      <c r="A19" s="30" t="s">
        <v>186</v>
      </c>
      <c r="B19" s="53">
        <v>6</v>
      </c>
      <c r="C19" s="53">
        <v>1</v>
      </c>
      <c r="D19" s="53">
        <v>5</v>
      </c>
      <c r="E19" s="53">
        <v>5</v>
      </c>
      <c r="F19" s="53">
        <v>4</v>
      </c>
      <c r="G19" s="53">
        <v>5</v>
      </c>
      <c r="H19" s="53">
        <v>6</v>
      </c>
      <c r="I19" s="53">
        <v>1</v>
      </c>
      <c r="J19" s="53">
        <v>7</v>
      </c>
      <c r="K19" s="53">
        <v>7</v>
      </c>
      <c r="L19" s="53">
        <v>7</v>
      </c>
      <c r="M19" s="53">
        <v>4</v>
      </c>
      <c r="N19" s="53">
        <v>6</v>
      </c>
      <c r="O19" s="53">
        <v>5</v>
      </c>
      <c r="P19" s="39">
        <f t="shared" si="0"/>
        <v>69</v>
      </c>
      <c r="Q19" s="57" t="s">
        <v>223</v>
      </c>
    </row>
    <row r="20" spans="1:17" ht="24" x14ac:dyDescent="0.15">
      <c r="A20" s="30" t="s">
        <v>187</v>
      </c>
      <c r="B20" s="53">
        <v>6</v>
      </c>
      <c r="C20" s="53">
        <v>1</v>
      </c>
      <c r="D20" s="53">
        <v>3</v>
      </c>
      <c r="E20" s="53">
        <v>3</v>
      </c>
      <c r="F20" s="53">
        <v>5</v>
      </c>
      <c r="G20" s="53">
        <v>5</v>
      </c>
      <c r="H20" s="53">
        <v>5</v>
      </c>
      <c r="I20" s="53">
        <v>4</v>
      </c>
      <c r="J20" s="53">
        <v>7</v>
      </c>
      <c r="K20" s="53">
        <v>7</v>
      </c>
      <c r="L20" s="53">
        <v>7</v>
      </c>
      <c r="M20" s="53">
        <v>5</v>
      </c>
      <c r="N20" s="53">
        <v>5</v>
      </c>
      <c r="O20" s="53">
        <v>3</v>
      </c>
      <c r="P20" s="39">
        <v>66</v>
      </c>
      <c r="Q20" s="57" t="s">
        <v>223</v>
      </c>
    </row>
    <row r="21" spans="1:17" ht="48.75" x14ac:dyDescent="0.15">
      <c r="A21" s="34" t="s">
        <v>188</v>
      </c>
      <c r="B21" s="53">
        <v>1</v>
      </c>
      <c r="C21" s="53">
        <v>5</v>
      </c>
      <c r="D21" s="53">
        <v>5</v>
      </c>
      <c r="E21" s="53">
        <v>3</v>
      </c>
      <c r="F21" s="53">
        <v>5</v>
      </c>
      <c r="G21" s="53">
        <v>7</v>
      </c>
      <c r="H21" s="53">
        <v>6</v>
      </c>
      <c r="I21" s="53">
        <v>5</v>
      </c>
      <c r="J21" s="53">
        <v>7</v>
      </c>
      <c r="K21" s="53">
        <v>6</v>
      </c>
      <c r="L21" s="53">
        <v>1</v>
      </c>
      <c r="M21" s="53">
        <v>4</v>
      </c>
      <c r="N21" s="53">
        <v>7</v>
      </c>
      <c r="O21" s="53">
        <v>4</v>
      </c>
      <c r="P21" s="39">
        <f>SUM(B21:O21)</f>
        <v>66</v>
      </c>
      <c r="Q21" s="57" t="s">
        <v>223</v>
      </c>
    </row>
    <row r="22" spans="1:17" ht="48.75" x14ac:dyDescent="0.15">
      <c r="A22" s="55" t="s">
        <v>217</v>
      </c>
      <c r="B22" s="53">
        <v>7</v>
      </c>
      <c r="C22" s="53">
        <v>4</v>
      </c>
      <c r="D22" s="53">
        <v>4</v>
      </c>
      <c r="E22" s="53">
        <v>5</v>
      </c>
      <c r="F22" s="53">
        <v>5</v>
      </c>
      <c r="G22" s="53">
        <v>4</v>
      </c>
      <c r="H22" s="53">
        <v>7</v>
      </c>
      <c r="I22" s="53">
        <v>5</v>
      </c>
      <c r="J22" s="53">
        <v>1</v>
      </c>
      <c r="K22" s="53">
        <v>6</v>
      </c>
      <c r="L22" s="53">
        <v>1</v>
      </c>
      <c r="M22" s="53">
        <v>5</v>
      </c>
      <c r="N22" s="53">
        <v>6</v>
      </c>
      <c r="O22" s="53">
        <v>5</v>
      </c>
      <c r="P22" s="39">
        <v>65</v>
      </c>
      <c r="Q22" s="57" t="s">
        <v>223</v>
      </c>
    </row>
    <row r="23" spans="1:17" ht="26.25" x14ac:dyDescent="0.15">
      <c r="A23" s="55" t="s">
        <v>218</v>
      </c>
      <c r="B23" s="53">
        <v>7</v>
      </c>
      <c r="C23" s="53">
        <v>1</v>
      </c>
      <c r="D23" s="53">
        <v>4</v>
      </c>
      <c r="E23" s="53">
        <v>5</v>
      </c>
      <c r="F23" s="53">
        <v>7</v>
      </c>
      <c r="G23" s="53">
        <v>4</v>
      </c>
      <c r="H23" s="53">
        <v>7</v>
      </c>
      <c r="I23" s="53">
        <v>5</v>
      </c>
      <c r="J23" s="53">
        <v>1</v>
      </c>
      <c r="K23" s="53">
        <v>7</v>
      </c>
      <c r="L23" s="53">
        <v>1</v>
      </c>
      <c r="M23" s="53">
        <v>3</v>
      </c>
      <c r="N23" s="53">
        <v>6</v>
      </c>
      <c r="O23" s="53">
        <v>6</v>
      </c>
      <c r="P23" s="39">
        <v>64</v>
      </c>
      <c r="Q23" s="57" t="s">
        <v>223</v>
      </c>
    </row>
    <row r="24" spans="1:17" ht="48.75" x14ac:dyDescent="0.15">
      <c r="A24" s="34" t="s">
        <v>189</v>
      </c>
      <c r="B24" s="53">
        <v>6</v>
      </c>
      <c r="C24" s="53">
        <v>1</v>
      </c>
      <c r="D24" s="53">
        <v>4</v>
      </c>
      <c r="E24" s="53">
        <v>5</v>
      </c>
      <c r="F24" s="53">
        <v>3</v>
      </c>
      <c r="G24" s="53">
        <v>5</v>
      </c>
      <c r="H24" s="53">
        <v>6</v>
      </c>
      <c r="I24" s="53">
        <v>5</v>
      </c>
      <c r="J24" s="53">
        <v>7</v>
      </c>
      <c r="K24" s="53">
        <v>5</v>
      </c>
      <c r="L24" s="53">
        <v>4</v>
      </c>
      <c r="M24" s="53">
        <v>4</v>
      </c>
      <c r="N24" s="53">
        <v>3</v>
      </c>
      <c r="O24" s="53">
        <v>5</v>
      </c>
      <c r="P24" s="39">
        <f>SUM(B24:O24)</f>
        <v>63</v>
      </c>
      <c r="Q24" s="57" t="s">
        <v>223</v>
      </c>
    </row>
    <row r="25" spans="1:17" ht="35.25" x14ac:dyDescent="0.15">
      <c r="A25" s="55" t="s">
        <v>190</v>
      </c>
      <c r="B25" s="53">
        <v>4</v>
      </c>
      <c r="C25" s="53">
        <v>1</v>
      </c>
      <c r="D25" s="53">
        <v>4</v>
      </c>
      <c r="E25" s="53">
        <v>4</v>
      </c>
      <c r="F25" s="53">
        <v>4</v>
      </c>
      <c r="G25" s="53">
        <v>6</v>
      </c>
      <c r="H25" s="53">
        <v>6</v>
      </c>
      <c r="I25" s="53">
        <v>3</v>
      </c>
      <c r="J25" s="53">
        <v>7</v>
      </c>
      <c r="K25" s="53">
        <v>7</v>
      </c>
      <c r="L25" s="53">
        <v>4</v>
      </c>
      <c r="M25" s="53">
        <v>5</v>
      </c>
      <c r="N25" s="53">
        <v>3</v>
      </c>
      <c r="O25" s="53">
        <v>4</v>
      </c>
      <c r="P25" s="39">
        <v>62</v>
      </c>
      <c r="Q25" s="57" t="s">
        <v>223</v>
      </c>
    </row>
    <row r="26" spans="1:17" ht="83.25" x14ac:dyDescent="0.15">
      <c r="A26" s="34" t="s">
        <v>191</v>
      </c>
      <c r="B26" s="53">
        <v>7</v>
      </c>
      <c r="C26" s="53">
        <v>1</v>
      </c>
      <c r="D26" s="53">
        <v>2</v>
      </c>
      <c r="E26" s="53">
        <v>2</v>
      </c>
      <c r="F26" s="53">
        <v>5</v>
      </c>
      <c r="G26" s="53">
        <v>7</v>
      </c>
      <c r="H26" s="53">
        <v>6</v>
      </c>
      <c r="I26" s="53">
        <v>3</v>
      </c>
      <c r="J26" s="53">
        <v>7</v>
      </c>
      <c r="K26" s="53">
        <v>7</v>
      </c>
      <c r="L26" s="53">
        <v>1</v>
      </c>
      <c r="M26" s="53">
        <v>4</v>
      </c>
      <c r="N26" s="53">
        <v>3</v>
      </c>
      <c r="O26" s="53">
        <v>6</v>
      </c>
      <c r="P26" s="39">
        <f>SUM(B26:O26)</f>
        <v>61</v>
      </c>
      <c r="Q26" s="57" t="s">
        <v>223</v>
      </c>
    </row>
    <row r="27" spans="1:17" ht="48.75" x14ac:dyDescent="0.15">
      <c r="A27" s="34" t="s">
        <v>219</v>
      </c>
      <c r="B27" s="53">
        <v>2</v>
      </c>
      <c r="C27" s="53">
        <v>5</v>
      </c>
      <c r="D27" s="53">
        <v>5</v>
      </c>
      <c r="E27" s="53">
        <v>1</v>
      </c>
      <c r="F27" s="53">
        <v>4</v>
      </c>
      <c r="G27" s="53">
        <v>7</v>
      </c>
      <c r="H27" s="53">
        <v>7</v>
      </c>
      <c r="I27" s="53">
        <v>5</v>
      </c>
      <c r="J27" s="53">
        <v>7</v>
      </c>
      <c r="K27" s="53">
        <v>6</v>
      </c>
      <c r="L27" s="53">
        <v>1</v>
      </c>
      <c r="M27" s="53">
        <v>3</v>
      </c>
      <c r="N27" s="53">
        <v>2</v>
      </c>
      <c r="O27" s="53">
        <v>4</v>
      </c>
      <c r="P27" s="39">
        <v>59</v>
      </c>
      <c r="Q27" s="57" t="s">
        <v>223</v>
      </c>
    </row>
    <row r="28" spans="1:17" ht="37.5" x14ac:dyDescent="0.15">
      <c r="A28" s="55" t="s">
        <v>220</v>
      </c>
      <c r="B28" s="53">
        <v>1</v>
      </c>
      <c r="C28" s="53">
        <v>4</v>
      </c>
      <c r="D28" s="53">
        <v>7</v>
      </c>
      <c r="E28" s="53">
        <v>3</v>
      </c>
      <c r="F28" s="53">
        <v>5</v>
      </c>
      <c r="G28" s="53">
        <v>6</v>
      </c>
      <c r="H28" s="53">
        <v>3</v>
      </c>
      <c r="I28" s="53">
        <v>4</v>
      </c>
      <c r="J28" s="53">
        <v>1</v>
      </c>
      <c r="K28" s="53">
        <v>6</v>
      </c>
      <c r="L28" s="53">
        <v>4</v>
      </c>
      <c r="M28" s="53">
        <v>5</v>
      </c>
      <c r="N28" s="53">
        <v>4</v>
      </c>
      <c r="O28" s="53">
        <v>5</v>
      </c>
      <c r="P28" s="39">
        <f>SUM(B28:O28)</f>
        <v>58</v>
      </c>
      <c r="Q28" s="57" t="s">
        <v>223</v>
      </c>
    </row>
  </sheetData>
  <autoFilter ref="Q1:Q28" xr:uid="{385EC57B-DDBA-3743-9FB3-0D32FCF68AAF}"/>
  <sortState xmlns:xlrd2="http://schemas.microsoft.com/office/spreadsheetml/2017/richdata2" ref="A3:P28">
    <sortCondition descending="1" ref="P3:P28"/>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F1AE-947A-4749-B8B3-1B35CFEC8E0C}">
  <dimension ref="A1:Q11"/>
  <sheetViews>
    <sheetView workbookViewId="0">
      <selection activeCell="A7" sqref="A7"/>
    </sheetView>
  </sheetViews>
  <sheetFormatPr defaultColWidth="11.4609375" defaultRowHeight="12.75" x14ac:dyDescent="0.15"/>
  <cols>
    <col min="1" max="1" width="50.83984375" style="26" customWidth="1"/>
    <col min="2" max="15" width="11.4609375" hidden="1" customWidth="1"/>
    <col min="16" max="16" width="17.6640625" bestFit="1" customWidth="1"/>
    <col min="17" max="17" width="14.42578125" bestFit="1" customWidth="1"/>
  </cols>
  <sheetData>
    <row r="1" spans="1:17" ht="13.5" x14ac:dyDescent="0.15">
      <c r="A1" s="29"/>
      <c r="B1" s="18"/>
      <c r="C1" s="18"/>
      <c r="D1" s="18"/>
      <c r="E1" s="18"/>
      <c r="F1" s="18"/>
      <c r="G1" s="18"/>
      <c r="H1" s="18"/>
      <c r="I1" s="18"/>
      <c r="J1" s="18"/>
      <c r="K1" s="18"/>
      <c r="L1" s="18"/>
      <c r="M1" s="18"/>
      <c r="N1" s="18"/>
      <c r="O1" s="18"/>
      <c r="P1" s="50" t="s">
        <v>224</v>
      </c>
      <c r="Q1" s="50" t="s">
        <v>225</v>
      </c>
    </row>
    <row r="2" spans="1:17" ht="35.25" x14ac:dyDescent="0.15">
      <c r="A2" s="29" t="s">
        <v>192</v>
      </c>
      <c r="B2" s="53">
        <v>5</v>
      </c>
      <c r="C2" s="53">
        <v>5</v>
      </c>
      <c r="D2" s="53">
        <v>6</v>
      </c>
      <c r="E2" s="53">
        <v>5</v>
      </c>
      <c r="F2" s="53">
        <v>4</v>
      </c>
      <c r="G2" s="53">
        <v>5</v>
      </c>
      <c r="H2" s="53">
        <v>4</v>
      </c>
      <c r="I2" s="53">
        <v>6</v>
      </c>
      <c r="J2" s="53">
        <v>7</v>
      </c>
      <c r="K2" s="53">
        <v>7</v>
      </c>
      <c r="L2" s="53">
        <v>5</v>
      </c>
      <c r="M2" s="53">
        <v>3</v>
      </c>
      <c r="N2" s="53">
        <v>5</v>
      </c>
      <c r="O2" s="53">
        <v>5</v>
      </c>
      <c r="P2" s="39">
        <f t="shared" ref="P2:P5" si="0">SUM(B2:O2)</f>
        <v>72</v>
      </c>
      <c r="Q2" s="57" t="s">
        <v>222</v>
      </c>
    </row>
    <row r="3" spans="1:17" ht="35.25" x14ac:dyDescent="0.15">
      <c r="A3" s="29" t="s">
        <v>193</v>
      </c>
      <c r="B3" s="53">
        <v>7</v>
      </c>
      <c r="C3" s="53">
        <v>5</v>
      </c>
      <c r="D3" s="53">
        <v>7</v>
      </c>
      <c r="E3" s="53">
        <v>7</v>
      </c>
      <c r="F3" s="53">
        <v>6</v>
      </c>
      <c r="G3" s="53">
        <v>7</v>
      </c>
      <c r="H3" s="53">
        <v>7</v>
      </c>
      <c r="I3" s="53">
        <v>7</v>
      </c>
      <c r="J3" s="53">
        <v>7</v>
      </c>
      <c r="K3" s="53">
        <v>6</v>
      </c>
      <c r="L3" s="53">
        <v>7</v>
      </c>
      <c r="M3" s="53">
        <v>6</v>
      </c>
      <c r="N3" s="53">
        <v>7</v>
      </c>
      <c r="O3" s="53">
        <v>6</v>
      </c>
      <c r="P3" s="39">
        <f t="shared" si="0"/>
        <v>92</v>
      </c>
      <c r="Q3" s="57" t="s">
        <v>222</v>
      </c>
    </row>
    <row r="4" spans="1:17" ht="46.5" x14ac:dyDescent="0.15">
      <c r="A4" s="29" t="s">
        <v>194</v>
      </c>
      <c r="B4" s="53">
        <v>6</v>
      </c>
      <c r="C4" s="53">
        <v>5</v>
      </c>
      <c r="D4" s="53">
        <v>7</v>
      </c>
      <c r="E4" s="53">
        <v>6</v>
      </c>
      <c r="F4" s="53">
        <v>5</v>
      </c>
      <c r="G4" s="53">
        <v>7</v>
      </c>
      <c r="H4" s="53">
        <v>7</v>
      </c>
      <c r="I4" s="53">
        <v>7</v>
      </c>
      <c r="J4" s="53">
        <v>7</v>
      </c>
      <c r="K4" s="53">
        <v>6</v>
      </c>
      <c r="L4" s="53">
        <v>5</v>
      </c>
      <c r="M4" s="53">
        <v>5</v>
      </c>
      <c r="N4" s="53">
        <v>6</v>
      </c>
      <c r="O4" s="53">
        <v>6</v>
      </c>
      <c r="P4" s="39">
        <f t="shared" si="0"/>
        <v>85</v>
      </c>
      <c r="Q4" s="57" t="s">
        <v>222</v>
      </c>
    </row>
    <row r="5" spans="1:17" ht="24" x14ac:dyDescent="0.15">
      <c r="A5" s="29" t="s">
        <v>195</v>
      </c>
      <c r="B5" s="53">
        <v>7</v>
      </c>
      <c r="C5" s="53">
        <v>7</v>
      </c>
      <c r="D5" s="53">
        <v>5</v>
      </c>
      <c r="E5" s="53">
        <v>7</v>
      </c>
      <c r="F5" s="53">
        <v>5</v>
      </c>
      <c r="G5" s="53">
        <v>6</v>
      </c>
      <c r="H5" s="53">
        <v>5</v>
      </c>
      <c r="I5" s="53">
        <v>6</v>
      </c>
      <c r="J5" s="53">
        <v>7</v>
      </c>
      <c r="K5" s="53">
        <v>6</v>
      </c>
      <c r="L5" s="53">
        <v>4</v>
      </c>
      <c r="M5" s="53">
        <v>6</v>
      </c>
      <c r="N5" s="53">
        <v>5</v>
      </c>
      <c r="O5" s="53">
        <v>5</v>
      </c>
      <c r="P5" s="39">
        <f t="shared" si="0"/>
        <v>81</v>
      </c>
      <c r="Q5" s="57" t="s">
        <v>222</v>
      </c>
    </row>
    <row r="6" spans="1:17" ht="35.25" x14ac:dyDescent="0.15">
      <c r="A6" s="29" t="s">
        <v>196</v>
      </c>
      <c r="B6" s="53">
        <v>4</v>
      </c>
      <c r="C6" s="53">
        <v>7</v>
      </c>
      <c r="D6" s="53">
        <v>7</v>
      </c>
      <c r="E6" s="53">
        <v>6</v>
      </c>
      <c r="F6" s="53">
        <v>5</v>
      </c>
      <c r="G6" s="53">
        <v>6</v>
      </c>
      <c r="H6" s="53">
        <v>7</v>
      </c>
      <c r="I6" s="53">
        <v>5</v>
      </c>
      <c r="J6" s="53">
        <v>7</v>
      </c>
      <c r="K6" s="53">
        <v>4</v>
      </c>
      <c r="L6" s="53">
        <v>6</v>
      </c>
      <c r="M6" s="53">
        <v>3</v>
      </c>
      <c r="N6" s="53">
        <v>5</v>
      </c>
      <c r="O6" s="53">
        <v>6</v>
      </c>
      <c r="P6" s="39">
        <f t="shared" ref="P6:P11" si="1">SUM(B6:O6)</f>
        <v>78</v>
      </c>
      <c r="Q6" s="57" t="s">
        <v>222</v>
      </c>
    </row>
    <row r="7" spans="1:17" ht="58.5" x14ac:dyDescent="0.15">
      <c r="A7" s="29" t="s">
        <v>197</v>
      </c>
      <c r="B7" s="53">
        <v>7</v>
      </c>
      <c r="C7" s="53">
        <v>5</v>
      </c>
      <c r="D7" s="53">
        <v>7</v>
      </c>
      <c r="E7" s="53">
        <v>6</v>
      </c>
      <c r="F7" s="53">
        <v>3</v>
      </c>
      <c r="G7" s="53">
        <v>6</v>
      </c>
      <c r="H7" s="53">
        <v>7</v>
      </c>
      <c r="I7" s="53">
        <v>7</v>
      </c>
      <c r="J7" s="53">
        <v>7</v>
      </c>
      <c r="K7" s="53">
        <v>5</v>
      </c>
      <c r="L7" s="53">
        <v>1</v>
      </c>
      <c r="M7" s="53">
        <v>4</v>
      </c>
      <c r="N7" s="53">
        <v>6</v>
      </c>
      <c r="O7" s="53">
        <v>5</v>
      </c>
      <c r="P7" s="39">
        <f t="shared" si="1"/>
        <v>76</v>
      </c>
      <c r="Q7" s="57" t="s">
        <v>222</v>
      </c>
    </row>
    <row r="8" spans="1:17" ht="35.25" x14ac:dyDescent="0.15">
      <c r="A8" s="29" t="s">
        <v>198</v>
      </c>
      <c r="B8" s="53">
        <v>1</v>
      </c>
      <c r="C8" s="53">
        <v>7</v>
      </c>
      <c r="D8" s="53">
        <v>7</v>
      </c>
      <c r="E8" s="53">
        <v>7</v>
      </c>
      <c r="F8" s="53">
        <v>6</v>
      </c>
      <c r="G8" s="53">
        <v>4</v>
      </c>
      <c r="H8" s="53">
        <v>7</v>
      </c>
      <c r="I8" s="53">
        <v>6</v>
      </c>
      <c r="J8" s="53">
        <v>7</v>
      </c>
      <c r="K8" s="53">
        <v>7</v>
      </c>
      <c r="L8" s="53">
        <v>5</v>
      </c>
      <c r="M8" s="53">
        <v>5</v>
      </c>
      <c r="N8" s="53">
        <v>2</v>
      </c>
      <c r="O8" s="53">
        <v>4</v>
      </c>
      <c r="P8" s="39">
        <f t="shared" si="1"/>
        <v>75</v>
      </c>
      <c r="Q8" s="57" t="s">
        <v>222</v>
      </c>
    </row>
    <row r="9" spans="1:17" ht="35.25" x14ac:dyDescent="0.15">
      <c r="A9" s="29" t="s">
        <v>199</v>
      </c>
      <c r="B9" s="53">
        <v>7</v>
      </c>
      <c r="C9" s="53">
        <v>3</v>
      </c>
      <c r="D9" s="53">
        <v>5</v>
      </c>
      <c r="E9" s="53">
        <v>2</v>
      </c>
      <c r="F9" s="53">
        <v>3</v>
      </c>
      <c r="G9" s="53">
        <v>3</v>
      </c>
      <c r="H9" s="53">
        <v>7</v>
      </c>
      <c r="I9" s="53">
        <v>6</v>
      </c>
      <c r="J9" s="53">
        <v>7</v>
      </c>
      <c r="K9" s="53">
        <v>5</v>
      </c>
      <c r="L9" s="53">
        <v>1</v>
      </c>
      <c r="M9" s="53">
        <v>5</v>
      </c>
      <c r="N9" s="53">
        <v>2</v>
      </c>
      <c r="O9" s="53">
        <v>5</v>
      </c>
      <c r="P9" s="39">
        <f t="shared" si="1"/>
        <v>61</v>
      </c>
      <c r="Q9" s="57" t="s">
        <v>222</v>
      </c>
    </row>
    <row r="10" spans="1:17" ht="58.5" x14ac:dyDescent="0.15">
      <c r="A10" s="29" t="s">
        <v>200</v>
      </c>
      <c r="B10" s="53">
        <v>7</v>
      </c>
      <c r="C10" s="53">
        <v>5</v>
      </c>
      <c r="D10" s="53">
        <v>3</v>
      </c>
      <c r="E10" s="53">
        <v>7</v>
      </c>
      <c r="F10" s="53">
        <v>5</v>
      </c>
      <c r="G10" s="53">
        <v>6</v>
      </c>
      <c r="H10" s="53">
        <v>7</v>
      </c>
      <c r="I10" s="53">
        <v>6</v>
      </c>
      <c r="J10" s="53">
        <v>7</v>
      </c>
      <c r="K10" s="53">
        <v>6</v>
      </c>
      <c r="L10" s="53">
        <v>1</v>
      </c>
      <c r="M10" s="53">
        <v>5</v>
      </c>
      <c r="N10" s="53">
        <v>7</v>
      </c>
      <c r="O10" s="53">
        <v>5</v>
      </c>
      <c r="P10" s="39">
        <f t="shared" si="1"/>
        <v>77</v>
      </c>
      <c r="Q10" s="57" t="s">
        <v>222</v>
      </c>
    </row>
    <row r="11" spans="1:17" ht="46.5" x14ac:dyDescent="0.15">
      <c r="A11" s="51" t="s">
        <v>221</v>
      </c>
      <c r="B11" s="53">
        <v>6</v>
      </c>
      <c r="C11" s="53">
        <v>5</v>
      </c>
      <c r="D11" s="53">
        <v>3</v>
      </c>
      <c r="E11" s="53">
        <v>6</v>
      </c>
      <c r="F11" s="53">
        <v>5</v>
      </c>
      <c r="G11" s="53">
        <v>6</v>
      </c>
      <c r="H11" s="53">
        <v>6</v>
      </c>
      <c r="I11" s="53">
        <v>5</v>
      </c>
      <c r="J11" s="53">
        <v>1</v>
      </c>
      <c r="K11" s="53">
        <v>6</v>
      </c>
      <c r="L11" s="53">
        <v>1</v>
      </c>
      <c r="M11" s="53">
        <v>5</v>
      </c>
      <c r="N11" s="53">
        <v>4</v>
      </c>
      <c r="O11" s="53">
        <v>5</v>
      </c>
      <c r="P11" s="39">
        <f t="shared" si="1"/>
        <v>64</v>
      </c>
      <c r="Q11" s="57" t="s">
        <v>222</v>
      </c>
    </row>
  </sheetData>
  <autoFilter ref="Q1:Q11" xr:uid="{A19FF1AE-947A-4749-B8B3-1B35CFEC8E0C}"/>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6203-A70C-4A2D-94B3-98F471512B35}">
  <sheetPr>
    <tabColor theme="4"/>
  </sheetPr>
  <dimension ref="A1:WG23"/>
  <sheetViews>
    <sheetView topLeftCell="A14" zoomScale="110" zoomScaleNormal="110" workbookViewId="0">
      <pane xSplit="3" topLeftCell="Y14" activePane="topRight" state="frozen"/>
      <selection activeCell="A12" sqref="A12"/>
      <selection pane="topRight" activeCell="AA22" sqref="AA22"/>
    </sheetView>
  </sheetViews>
  <sheetFormatPr defaultColWidth="9.16796875" defaultRowHeight="14.25" x14ac:dyDescent="0.15"/>
  <cols>
    <col min="1" max="1" width="5.93359375" style="111" bestFit="1" customWidth="1"/>
    <col min="2" max="2" width="25.21484375" style="115" customWidth="1"/>
    <col min="3" max="3" width="13.34765625" style="124" bestFit="1" customWidth="1"/>
    <col min="4" max="83" width="12.67578125" style="108" customWidth="1"/>
    <col min="84" max="605" width="13.88671875" style="108" customWidth="1"/>
    <col min="606" max="16384" width="9.16796875" style="108"/>
  </cols>
  <sheetData>
    <row r="1" spans="1:605" s="217" customFormat="1" ht="24.75" customHeight="1" x14ac:dyDescent="0.15">
      <c r="A1" s="222" t="s">
        <v>402</v>
      </c>
      <c r="B1" s="214" t="s">
        <v>282</v>
      </c>
      <c r="C1" s="215" t="s">
        <v>457</v>
      </c>
      <c r="D1" s="216">
        <v>45778</v>
      </c>
      <c r="E1" s="216">
        <v>45782</v>
      </c>
      <c r="F1" s="216">
        <v>45782</v>
      </c>
      <c r="G1" s="216">
        <v>45783</v>
      </c>
      <c r="H1" s="216">
        <v>45783</v>
      </c>
      <c r="I1" s="216">
        <v>45784</v>
      </c>
      <c r="J1" s="216">
        <v>45784</v>
      </c>
      <c r="K1" s="216">
        <v>45785</v>
      </c>
      <c r="L1" s="216">
        <v>45785</v>
      </c>
      <c r="M1" s="216">
        <v>45786</v>
      </c>
      <c r="N1" s="216">
        <v>45786</v>
      </c>
      <c r="O1" s="216">
        <v>45787</v>
      </c>
      <c r="P1" s="216">
        <v>45787</v>
      </c>
      <c r="Q1" s="216">
        <v>45788</v>
      </c>
      <c r="R1" s="216"/>
      <c r="S1" s="216">
        <v>45789</v>
      </c>
      <c r="T1" s="216">
        <v>45789</v>
      </c>
      <c r="U1" s="216">
        <v>45790</v>
      </c>
      <c r="V1" s="216">
        <v>45791</v>
      </c>
      <c r="W1" s="216">
        <v>45791</v>
      </c>
      <c r="X1" s="216">
        <v>45792</v>
      </c>
      <c r="Y1" s="216">
        <v>45792</v>
      </c>
      <c r="Z1" s="216">
        <v>45793</v>
      </c>
      <c r="AA1" s="216">
        <v>45794</v>
      </c>
      <c r="AB1" s="216"/>
      <c r="AC1" s="216"/>
      <c r="AD1" s="216"/>
      <c r="AE1" s="216"/>
      <c r="AF1" s="216"/>
      <c r="AG1" s="216"/>
      <c r="AH1" s="216"/>
      <c r="AI1" s="216"/>
      <c r="AJ1" s="216"/>
      <c r="AK1" s="216"/>
      <c r="AL1" s="216"/>
      <c r="AM1" s="216"/>
      <c r="AN1" s="216"/>
      <c r="AO1" s="216"/>
      <c r="AP1" s="216"/>
      <c r="AQ1" s="216"/>
      <c r="AR1" s="216"/>
      <c r="AS1" s="216"/>
      <c r="AT1" s="216"/>
      <c r="AU1" s="216"/>
      <c r="AV1" s="216"/>
      <c r="AW1" s="216"/>
      <c r="AX1" s="216"/>
      <c r="AY1" s="216"/>
      <c r="AZ1" s="216"/>
      <c r="BA1" s="216"/>
      <c r="BB1" s="216"/>
      <c r="BC1" s="216"/>
      <c r="BD1" s="216"/>
      <c r="BE1" s="216"/>
      <c r="BF1" s="216"/>
      <c r="BG1" s="216"/>
      <c r="BH1" s="216"/>
      <c r="BI1" s="216"/>
      <c r="BJ1" s="216"/>
      <c r="BK1" s="216"/>
      <c r="BL1" s="216"/>
      <c r="BM1" s="216"/>
      <c r="BN1" s="216"/>
      <c r="BO1" s="216"/>
      <c r="BP1" s="216"/>
      <c r="BQ1" s="216"/>
      <c r="BR1" s="216"/>
      <c r="BS1" s="216"/>
      <c r="BT1" s="216"/>
      <c r="BU1" s="216"/>
      <c r="BV1" s="216"/>
      <c r="BW1" s="216"/>
      <c r="BX1" s="216"/>
      <c r="BY1" s="216"/>
      <c r="BZ1" s="216"/>
      <c r="CA1" s="216"/>
      <c r="CB1" s="216"/>
      <c r="CC1" s="216"/>
      <c r="CD1" s="216"/>
      <c r="CE1" s="216"/>
      <c r="CF1" s="216"/>
      <c r="CG1" s="216"/>
      <c r="CH1" s="216"/>
      <c r="CI1" s="216"/>
      <c r="CJ1" s="216"/>
      <c r="CK1" s="216"/>
      <c r="CL1" s="216"/>
      <c r="CM1" s="216"/>
      <c r="CN1" s="216"/>
      <c r="CO1" s="216"/>
      <c r="CP1" s="216"/>
      <c r="CQ1" s="216"/>
      <c r="CR1" s="216"/>
      <c r="CS1" s="216"/>
      <c r="CT1" s="216"/>
      <c r="CU1" s="216"/>
      <c r="CV1" s="216"/>
      <c r="CW1" s="216"/>
      <c r="CX1" s="216"/>
      <c r="CY1" s="216"/>
      <c r="CZ1" s="216"/>
      <c r="DA1" s="216"/>
      <c r="DB1" s="216"/>
      <c r="DC1" s="216"/>
      <c r="DD1" s="216"/>
      <c r="DE1" s="216"/>
      <c r="DF1" s="216"/>
      <c r="DG1" s="216"/>
      <c r="DH1" s="216"/>
      <c r="DI1" s="216"/>
      <c r="DJ1" s="216"/>
      <c r="DK1" s="216"/>
      <c r="DL1" s="216"/>
      <c r="DM1" s="216"/>
      <c r="DN1" s="216"/>
      <c r="DO1" s="216"/>
      <c r="DP1" s="216"/>
      <c r="DQ1" s="216"/>
      <c r="DR1" s="216"/>
      <c r="DS1" s="216"/>
      <c r="DT1" s="216"/>
      <c r="DU1" s="216"/>
      <c r="DV1" s="216"/>
      <c r="DW1" s="216"/>
      <c r="DX1" s="216"/>
      <c r="DY1" s="216"/>
      <c r="DZ1" s="216"/>
      <c r="EA1" s="216"/>
      <c r="EB1" s="216"/>
      <c r="EC1" s="216"/>
      <c r="ED1" s="216"/>
      <c r="EE1" s="216"/>
      <c r="EF1" s="216"/>
      <c r="EG1" s="216"/>
      <c r="EH1" s="216"/>
      <c r="EI1" s="216"/>
      <c r="EJ1" s="216"/>
      <c r="EK1" s="216"/>
      <c r="EL1" s="216"/>
      <c r="EM1" s="216"/>
      <c r="EN1" s="216"/>
      <c r="EO1" s="216"/>
      <c r="EP1" s="216"/>
      <c r="EQ1" s="216"/>
      <c r="ER1" s="216"/>
      <c r="ES1" s="216"/>
      <c r="ET1" s="216"/>
      <c r="EU1" s="216"/>
      <c r="EV1" s="216"/>
      <c r="EW1" s="216"/>
      <c r="EX1" s="216"/>
      <c r="EY1" s="216"/>
      <c r="EZ1" s="216"/>
      <c r="FA1" s="216"/>
      <c r="FB1" s="216"/>
      <c r="FC1" s="216"/>
      <c r="FD1" s="216"/>
      <c r="FE1" s="216"/>
      <c r="FF1" s="216"/>
      <c r="FG1" s="216"/>
      <c r="FH1" s="216"/>
      <c r="FI1" s="216"/>
      <c r="FJ1" s="216"/>
      <c r="FK1" s="216"/>
      <c r="FL1" s="216"/>
      <c r="FM1" s="216"/>
      <c r="FN1" s="216"/>
      <c r="FO1" s="216"/>
      <c r="FP1" s="216"/>
      <c r="FQ1" s="216"/>
      <c r="FR1" s="216"/>
      <c r="FS1" s="216"/>
      <c r="FT1" s="216"/>
      <c r="FU1" s="216"/>
      <c r="FV1" s="216"/>
      <c r="FW1" s="216"/>
      <c r="FX1" s="216"/>
      <c r="FY1" s="216"/>
      <c r="FZ1" s="216"/>
      <c r="GA1" s="216"/>
      <c r="GB1" s="216"/>
      <c r="GC1" s="216"/>
      <c r="GD1" s="216"/>
      <c r="GE1" s="216"/>
      <c r="GF1" s="216"/>
      <c r="GG1" s="216"/>
      <c r="GH1" s="216"/>
      <c r="GI1" s="216"/>
      <c r="GJ1" s="216"/>
      <c r="GK1" s="216"/>
      <c r="GL1" s="216"/>
      <c r="GM1" s="216"/>
      <c r="GN1" s="216"/>
      <c r="GO1" s="216"/>
      <c r="GP1" s="216"/>
      <c r="GQ1" s="216"/>
      <c r="GR1" s="216"/>
      <c r="GS1" s="216"/>
      <c r="GT1" s="216"/>
      <c r="GU1" s="216"/>
      <c r="GV1" s="216"/>
      <c r="GW1" s="216"/>
      <c r="GX1" s="216"/>
      <c r="GY1" s="216"/>
      <c r="GZ1" s="216"/>
      <c r="HA1" s="216"/>
      <c r="HB1" s="216"/>
      <c r="HC1" s="216"/>
      <c r="HD1" s="216"/>
      <c r="HE1" s="216"/>
      <c r="HF1" s="216"/>
      <c r="HG1" s="216"/>
      <c r="HH1" s="216"/>
      <c r="HI1" s="216"/>
      <c r="HJ1" s="216"/>
      <c r="HK1" s="216"/>
      <c r="HL1" s="216"/>
      <c r="HM1" s="216"/>
      <c r="HN1" s="216"/>
      <c r="HO1" s="216"/>
      <c r="HP1" s="216"/>
      <c r="HQ1" s="216"/>
      <c r="HR1" s="216"/>
      <c r="HS1" s="216"/>
      <c r="HT1" s="216"/>
      <c r="HU1" s="216"/>
      <c r="HV1" s="216"/>
      <c r="HW1" s="216"/>
      <c r="HX1" s="216"/>
      <c r="HY1" s="216"/>
      <c r="HZ1" s="216"/>
      <c r="IA1" s="216"/>
      <c r="IB1" s="216"/>
      <c r="IC1" s="216"/>
      <c r="ID1" s="216"/>
      <c r="IE1" s="216"/>
      <c r="IF1" s="216"/>
      <c r="IG1" s="216"/>
      <c r="IH1" s="216"/>
      <c r="II1" s="216"/>
      <c r="IJ1" s="216"/>
      <c r="IK1" s="216"/>
      <c r="IL1" s="216"/>
      <c r="IM1" s="216"/>
      <c r="IN1" s="216"/>
      <c r="IO1" s="216"/>
      <c r="IP1" s="216"/>
      <c r="IQ1" s="216"/>
      <c r="IR1" s="216"/>
      <c r="IS1" s="216"/>
      <c r="IT1" s="216"/>
      <c r="IU1" s="216"/>
      <c r="IV1" s="216"/>
      <c r="IW1" s="216"/>
      <c r="IX1" s="216"/>
      <c r="IY1" s="216"/>
      <c r="IZ1" s="216"/>
      <c r="JA1" s="216"/>
      <c r="JB1" s="216"/>
      <c r="JC1" s="216"/>
      <c r="JD1" s="216"/>
      <c r="JE1" s="216"/>
      <c r="JF1" s="216"/>
      <c r="JG1" s="216"/>
      <c r="JH1" s="216"/>
      <c r="JI1" s="216"/>
      <c r="JJ1" s="216"/>
      <c r="JK1" s="216"/>
      <c r="JL1" s="216"/>
      <c r="JM1" s="216"/>
      <c r="JN1" s="216"/>
      <c r="JO1" s="216"/>
      <c r="JP1" s="216"/>
      <c r="JQ1" s="216"/>
      <c r="JR1" s="216"/>
      <c r="JS1" s="216"/>
      <c r="JT1" s="216"/>
      <c r="JU1" s="216"/>
      <c r="JV1" s="216"/>
      <c r="JW1" s="216"/>
      <c r="JX1" s="216"/>
      <c r="JY1" s="216"/>
      <c r="JZ1" s="216"/>
      <c r="KA1" s="216"/>
      <c r="KB1" s="216"/>
      <c r="KC1" s="216"/>
      <c r="KD1" s="216"/>
      <c r="KE1" s="216"/>
      <c r="KF1" s="216"/>
      <c r="KG1" s="216"/>
      <c r="KH1" s="216"/>
      <c r="KI1" s="216"/>
      <c r="KJ1" s="216"/>
      <c r="KK1" s="216"/>
      <c r="KL1" s="216"/>
      <c r="KM1" s="216"/>
      <c r="KN1" s="216"/>
      <c r="KO1" s="216"/>
      <c r="KP1" s="216"/>
      <c r="KQ1" s="216"/>
      <c r="KR1" s="216"/>
      <c r="KS1" s="216"/>
      <c r="KT1" s="216"/>
      <c r="KU1" s="216"/>
      <c r="KV1" s="216"/>
      <c r="KW1" s="216"/>
      <c r="KX1" s="216"/>
      <c r="KY1" s="216"/>
      <c r="KZ1" s="216"/>
      <c r="LA1" s="216"/>
      <c r="LB1" s="216"/>
      <c r="LC1" s="216"/>
      <c r="LD1" s="216"/>
      <c r="LE1" s="216"/>
      <c r="LF1" s="216"/>
      <c r="LG1" s="216"/>
      <c r="LH1" s="216"/>
      <c r="LI1" s="216"/>
      <c r="LJ1" s="216"/>
      <c r="LK1" s="216"/>
      <c r="LL1" s="216"/>
      <c r="LM1" s="216"/>
      <c r="LN1" s="216"/>
      <c r="LO1" s="216"/>
      <c r="LP1" s="216"/>
      <c r="LQ1" s="216"/>
      <c r="LR1" s="216"/>
      <c r="LS1" s="216"/>
      <c r="LT1" s="216"/>
      <c r="LU1" s="216"/>
      <c r="LV1" s="216"/>
      <c r="LW1" s="216"/>
      <c r="LX1" s="216"/>
      <c r="LY1" s="216"/>
      <c r="LZ1" s="216"/>
      <c r="MA1" s="216"/>
      <c r="MB1" s="216"/>
      <c r="MC1" s="216"/>
      <c r="MD1" s="216"/>
      <c r="ME1" s="216"/>
      <c r="MF1" s="216"/>
      <c r="MG1" s="216"/>
      <c r="MH1" s="216"/>
      <c r="MI1" s="216"/>
      <c r="MJ1" s="216"/>
      <c r="MK1" s="216"/>
      <c r="ML1" s="216"/>
      <c r="MM1" s="216"/>
      <c r="MN1" s="216"/>
      <c r="MO1" s="216"/>
      <c r="MP1" s="216"/>
      <c r="MQ1" s="216"/>
      <c r="MR1" s="216"/>
      <c r="MS1" s="216"/>
      <c r="MT1" s="216"/>
      <c r="MU1" s="216"/>
      <c r="MV1" s="216"/>
      <c r="MW1" s="216"/>
      <c r="MX1" s="216"/>
      <c r="MY1" s="216"/>
      <c r="MZ1" s="216"/>
      <c r="NA1" s="216"/>
      <c r="NB1" s="216"/>
      <c r="NC1" s="216"/>
      <c r="ND1" s="216"/>
      <c r="NE1" s="216"/>
      <c r="NF1" s="216"/>
      <c r="NG1" s="216"/>
      <c r="NH1" s="216"/>
      <c r="NI1" s="216"/>
      <c r="NJ1" s="216"/>
      <c r="NK1" s="216"/>
      <c r="NL1" s="216"/>
      <c r="NM1" s="216"/>
      <c r="NN1" s="216"/>
      <c r="NO1" s="216"/>
      <c r="NP1" s="216"/>
      <c r="NQ1" s="216"/>
      <c r="NR1" s="216"/>
      <c r="NS1" s="216"/>
      <c r="NT1" s="216"/>
      <c r="NU1" s="216"/>
      <c r="NV1" s="216"/>
      <c r="NW1" s="216"/>
      <c r="NX1" s="216"/>
      <c r="NY1" s="216"/>
      <c r="NZ1" s="216"/>
      <c r="OA1" s="216"/>
      <c r="OB1" s="216"/>
      <c r="OC1" s="216"/>
      <c r="OD1" s="216"/>
      <c r="OE1" s="216"/>
      <c r="OF1" s="216"/>
      <c r="OG1" s="216"/>
      <c r="OH1" s="216"/>
      <c r="OI1" s="216"/>
      <c r="OJ1" s="216"/>
      <c r="OK1" s="216"/>
      <c r="OL1" s="216"/>
      <c r="OM1" s="216"/>
      <c r="ON1" s="216"/>
      <c r="OO1" s="216"/>
      <c r="OP1" s="216"/>
      <c r="OQ1" s="216"/>
      <c r="OR1" s="216"/>
      <c r="OS1" s="216"/>
      <c r="OT1" s="216"/>
      <c r="OU1" s="216"/>
      <c r="OV1" s="216"/>
      <c r="OW1" s="216"/>
      <c r="OX1" s="216"/>
      <c r="OY1" s="216"/>
      <c r="OZ1" s="216"/>
      <c r="PA1" s="216"/>
      <c r="PB1" s="216"/>
      <c r="PC1" s="216"/>
      <c r="PD1" s="216"/>
      <c r="PE1" s="216"/>
      <c r="PF1" s="216"/>
      <c r="PG1" s="216"/>
      <c r="PH1" s="216"/>
      <c r="PI1" s="216"/>
      <c r="PJ1" s="216"/>
      <c r="PK1" s="216"/>
      <c r="PL1" s="216"/>
      <c r="PM1" s="216"/>
      <c r="PN1" s="216"/>
      <c r="PO1" s="216"/>
      <c r="PP1" s="216"/>
      <c r="PQ1" s="216"/>
      <c r="PR1" s="216"/>
      <c r="PS1" s="216"/>
      <c r="PT1" s="216"/>
      <c r="PU1" s="216"/>
      <c r="PV1" s="216"/>
      <c r="PW1" s="216"/>
      <c r="PX1" s="216"/>
      <c r="PY1" s="216"/>
      <c r="PZ1" s="216"/>
      <c r="QA1" s="216"/>
      <c r="QB1" s="216"/>
      <c r="QC1" s="216"/>
      <c r="QD1" s="216"/>
      <c r="QE1" s="216"/>
      <c r="QF1" s="216"/>
      <c r="QG1" s="216"/>
      <c r="QH1" s="216"/>
      <c r="QI1" s="216"/>
      <c r="QJ1" s="216"/>
      <c r="QK1" s="216"/>
      <c r="QL1" s="216"/>
      <c r="QM1" s="216"/>
      <c r="QN1" s="216"/>
      <c r="QO1" s="216"/>
      <c r="QP1" s="216"/>
      <c r="QQ1" s="216"/>
      <c r="QR1" s="216"/>
      <c r="QS1" s="216"/>
      <c r="QT1" s="216"/>
      <c r="QU1" s="216"/>
      <c r="QV1" s="216"/>
      <c r="QW1" s="216"/>
      <c r="QX1" s="216"/>
      <c r="QY1" s="216"/>
      <c r="QZ1" s="216"/>
      <c r="RA1" s="216"/>
      <c r="RB1" s="216"/>
      <c r="RC1" s="216"/>
      <c r="RD1" s="216"/>
      <c r="RE1" s="216"/>
      <c r="RF1" s="216"/>
      <c r="RG1" s="216"/>
      <c r="RH1" s="216"/>
      <c r="RI1" s="216"/>
      <c r="RJ1" s="216"/>
      <c r="RK1" s="216"/>
      <c r="RL1" s="216"/>
      <c r="RM1" s="216"/>
      <c r="RN1" s="216"/>
      <c r="RO1" s="216"/>
      <c r="RP1" s="216"/>
      <c r="RQ1" s="216"/>
      <c r="RR1" s="216"/>
      <c r="RS1" s="216"/>
      <c r="RT1" s="216"/>
      <c r="RU1" s="216"/>
      <c r="RV1" s="216"/>
      <c r="RW1" s="216"/>
      <c r="RX1" s="216"/>
      <c r="RY1" s="216"/>
      <c r="RZ1" s="216"/>
      <c r="SA1" s="216"/>
      <c r="SB1" s="216"/>
      <c r="SC1" s="216"/>
      <c r="SD1" s="216"/>
      <c r="SE1" s="216"/>
      <c r="SF1" s="216"/>
      <c r="SG1" s="216"/>
      <c r="SH1" s="216"/>
      <c r="SI1" s="216"/>
      <c r="SJ1" s="216"/>
      <c r="SK1" s="216"/>
      <c r="SL1" s="216"/>
      <c r="SM1" s="216"/>
      <c r="SN1" s="216"/>
      <c r="SO1" s="216"/>
      <c r="SP1" s="216"/>
      <c r="SQ1" s="216"/>
      <c r="SR1" s="216"/>
      <c r="SS1" s="216"/>
      <c r="ST1" s="216"/>
      <c r="SU1" s="216"/>
      <c r="SV1" s="216"/>
      <c r="SW1" s="216"/>
      <c r="SX1" s="216"/>
      <c r="SY1" s="216"/>
      <c r="SZ1" s="216"/>
      <c r="TA1" s="216"/>
      <c r="TB1" s="216"/>
      <c r="TC1" s="216"/>
      <c r="TD1" s="216"/>
      <c r="TE1" s="216"/>
      <c r="TF1" s="216"/>
      <c r="TG1" s="216"/>
      <c r="TH1" s="216"/>
      <c r="TI1" s="216"/>
      <c r="TJ1" s="216"/>
      <c r="TK1" s="216"/>
      <c r="TL1" s="216"/>
      <c r="TM1" s="216"/>
      <c r="TN1" s="216"/>
      <c r="TO1" s="216"/>
      <c r="TP1" s="216"/>
      <c r="TQ1" s="216"/>
      <c r="TR1" s="216"/>
      <c r="TS1" s="216"/>
      <c r="TT1" s="216"/>
      <c r="TU1" s="216"/>
      <c r="TV1" s="216"/>
      <c r="TW1" s="216"/>
      <c r="TX1" s="216"/>
      <c r="TY1" s="216"/>
      <c r="TZ1" s="216"/>
      <c r="UA1" s="216"/>
      <c r="UB1" s="216"/>
      <c r="UC1" s="216"/>
      <c r="UD1" s="216"/>
      <c r="UE1" s="216"/>
      <c r="UF1" s="216"/>
      <c r="UG1" s="216"/>
      <c r="UH1" s="216"/>
      <c r="UI1" s="216"/>
      <c r="UJ1" s="216"/>
      <c r="UK1" s="216"/>
      <c r="UL1" s="216"/>
      <c r="UM1" s="216"/>
      <c r="UN1" s="216"/>
      <c r="UO1" s="216"/>
      <c r="UP1" s="216"/>
      <c r="UQ1" s="216"/>
      <c r="UR1" s="216"/>
      <c r="US1" s="216"/>
      <c r="UT1" s="216"/>
      <c r="UU1" s="216"/>
      <c r="UV1" s="216"/>
      <c r="UW1" s="216"/>
      <c r="UX1" s="216"/>
      <c r="UY1" s="216"/>
      <c r="UZ1" s="216"/>
      <c r="VA1" s="216"/>
      <c r="VB1" s="216"/>
      <c r="VC1" s="216"/>
      <c r="VD1" s="216"/>
      <c r="VE1" s="216"/>
      <c r="VF1" s="216"/>
      <c r="VG1" s="216"/>
      <c r="VH1" s="216"/>
      <c r="VI1" s="216"/>
      <c r="VJ1" s="216"/>
      <c r="VK1" s="216"/>
      <c r="VL1" s="216"/>
      <c r="VM1" s="216"/>
      <c r="VN1" s="216"/>
      <c r="VO1" s="216"/>
      <c r="VP1" s="216"/>
      <c r="VQ1" s="216"/>
      <c r="VR1" s="216"/>
      <c r="VS1" s="216"/>
      <c r="VT1" s="216"/>
      <c r="VU1" s="216"/>
      <c r="VV1" s="216"/>
      <c r="VW1" s="216"/>
      <c r="VX1" s="216"/>
      <c r="VY1" s="216"/>
      <c r="VZ1" s="216"/>
      <c r="WA1" s="216"/>
      <c r="WB1" s="216"/>
      <c r="WC1" s="216"/>
      <c r="WD1" s="216"/>
      <c r="WE1" s="216"/>
      <c r="WF1" s="216"/>
      <c r="WG1" s="216"/>
    </row>
    <row r="2" spans="1:605" s="114" customFormat="1" ht="24.75" customHeight="1" x14ac:dyDescent="0.15">
      <c r="A2" s="223"/>
      <c r="B2" s="126" t="s">
        <v>318</v>
      </c>
      <c r="C2" s="127" t="s">
        <v>428</v>
      </c>
      <c r="D2" s="128">
        <v>0.53472222222222221</v>
      </c>
      <c r="E2" s="128">
        <v>0.21180555555555555</v>
      </c>
      <c r="F2" s="128">
        <v>0.60069444444444442</v>
      </c>
      <c r="G2" s="128">
        <v>0.2361111111111111</v>
      </c>
      <c r="H2" s="128">
        <v>0.60416666666666663</v>
      </c>
      <c r="I2" s="128">
        <v>0.22916666666666666</v>
      </c>
      <c r="J2" s="128">
        <v>0.58333333333333337</v>
      </c>
      <c r="K2" s="128">
        <v>0.2013888888888889</v>
      </c>
      <c r="L2" s="128">
        <v>0.65625</v>
      </c>
      <c r="M2" s="128">
        <v>0.21875</v>
      </c>
      <c r="N2" s="128">
        <v>0.64583333333333337</v>
      </c>
      <c r="O2" s="128">
        <v>0.24305555555555555</v>
      </c>
      <c r="P2" s="128">
        <v>0.54166666666666663</v>
      </c>
      <c r="Q2" s="128">
        <v>0.2361111111111111</v>
      </c>
      <c r="R2" s="128">
        <v>0.24305555555555555</v>
      </c>
      <c r="S2" s="128">
        <v>0.57638888888888884</v>
      </c>
      <c r="T2" s="128">
        <v>0.90972222222222221</v>
      </c>
      <c r="U2" s="128" t="s">
        <v>474</v>
      </c>
      <c r="V2" s="128">
        <v>0.20833333333333334</v>
      </c>
      <c r="W2" s="128">
        <v>0.59027777777777779</v>
      </c>
      <c r="X2" s="128">
        <v>0.16666666666666666</v>
      </c>
      <c r="Y2" s="128">
        <v>0.63888888888888884</v>
      </c>
      <c r="Z2" s="128">
        <v>0.63194444444444442</v>
      </c>
      <c r="AA2" s="128">
        <v>0.25</v>
      </c>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c r="BQ2" s="128"/>
      <c r="BR2" s="128"/>
      <c r="BS2" s="128"/>
      <c r="BT2" s="128"/>
      <c r="BU2" s="128"/>
      <c r="BV2" s="128"/>
      <c r="BW2" s="128"/>
      <c r="BX2" s="128"/>
      <c r="BY2" s="128"/>
      <c r="BZ2" s="128"/>
      <c r="CA2" s="128"/>
      <c r="CB2" s="128"/>
      <c r="CC2" s="128"/>
      <c r="CD2" s="128"/>
      <c r="CE2" s="128"/>
      <c r="CF2" s="128"/>
      <c r="CG2" s="128"/>
      <c r="CH2" s="128"/>
      <c r="CI2" s="128"/>
      <c r="CJ2" s="128"/>
      <c r="CK2" s="128"/>
      <c r="CL2" s="128"/>
      <c r="CM2" s="128"/>
      <c r="CN2" s="128"/>
      <c r="CO2" s="128"/>
      <c r="CP2" s="128"/>
      <c r="CQ2" s="128"/>
      <c r="CR2" s="128"/>
      <c r="CS2" s="128"/>
      <c r="CT2" s="128"/>
      <c r="CU2" s="128"/>
      <c r="CV2" s="128"/>
      <c r="CW2" s="128"/>
      <c r="CX2" s="128"/>
      <c r="CY2" s="128"/>
      <c r="CZ2" s="128"/>
      <c r="DA2" s="128"/>
      <c r="DB2" s="128"/>
      <c r="DC2" s="128"/>
      <c r="DD2" s="128"/>
      <c r="DE2" s="128"/>
      <c r="DF2" s="128"/>
      <c r="DG2" s="128"/>
      <c r="DH2" s="128"/>
      <c r="DI2" s="128"/>
      <c r="DJ2" s="128"/>
      <c r="DK2" s="128"/>
      <c r="DL2" s="128"/>
      <c r="DM2" s="128"/>
      <c r="DN2" s="128"/>
      <c r="DO2" s="128"/>
      <c r="DP2" s="128"/>
      <c r="DQ2" s="128"/>
      <c r="DR2" s="128"/>
      <c r="DS2" s="128"/>
      <c r="DT2" s="128"/>
      <c r="DU2" s="128"/>
      <c r="DV2" s="128"/>
      <c r="DW2" s="128"/>
      <c r="DX2" s="128"/>
      <c r="DY2" s="128"/>
      <c r="DZ2" s="128"/>
      <c r="EA2" s="128"/>
      <c r="EB2" s="128"/>
      <c r="EC2" s="128"/>
      <c r="ED2" s="128"/>
      <c r="EE2" s="128"/>
      <c r="EF2" s="128"/>
      <c r="EG2" s="128"/>
      <c r="EH2" s="128"/>
      <c r="EI2" s="128"/>
      <c r="EJ2" s="128"/>
      <c r="EK2" s="128"/>
      <c r="EL2" s="128"/>
      <c r="EM2" s="128"/>
      <c r="EN2" s="128"/>
      <c r="EO2" s="128"/>
      <c r="EP2" s="128"/>
      <c r="EQ2" s="128"/>
      <c r="ER2" s="128"/>
      <c r="ES2" s="128"/>
      <c r="ET2" s="128"/>
      <c r="EU2" s="128"/>
      <c r="EV2" s="128"/>
      <c r="EW2" s="128"/>
      <c r="EX2" s="128"/>
      <c r="EY2" s="128"/>
      <c r="EZ2" s="128"/>
      <c r="FA2" s="128"/>
      <c r="FB2" s="128"/>
      <c r="FC2" s="128"/>
      <c r="FD2" s="128"/>
      <c r="FE2" s="128"/>
      <c r="FF2" s="128"/>
      <c r="FG2" s="128"/>
      <c r="FH2" s="128"/>
      <c r="FI2" s="128"/>
      <c r="FJ2" s="128"/>
      <c r="FK2" s="128"/>
      <c r="FL2" s="128"/>
      <c r="FM2" s="128"/>
      <c r="FN2" s="128"/>
      <c r="FO2" s="128"/>
      <c r="FP2" s="128"/>
      <c r="FQ2" s="128"/>
      <c r="FR2" s="128"/>
      <c r="FS2" s="128"/>
      <c r="FT2" s="128"/>
      <c r="FU2" s="128"/>
      <c r="FV2" s="128"/>
      <c r="FW2" s="128"/>
      <c r="FX2" s="128"/>
      <c r="FY2" s="128"/>
      <c r="FZ2" s="128"/>
      <c r="GA2" s="128"/>
      <c r="GB2" s="128"/>
      <c r="GC2" s="128"/>
      <c r="GD2" s="128"/>
      <c r="GE2" s="128"/>
      <c r="GF2" s="128"/>
      <c r="GG2" s="128"/>
      <c r="GH2" s="128"/>
      <c r="GI2" s="128"/>
      <c r="GJ2" s="128"/>
      <c r="GK2" s="128"/>
      <c r="GL2" s="128"/>
      <c r="GM2" s="128"/>
      <c r="GN2" s="128"/>
      <c r="GO2" s="128"/>
      <c r="GP2" s="128"/>
      <c r="GQ2" s="128"/>
      <c r="GR2" s="128"/>
      <c r="GS2" s="128"/>
      <c r="GT2" s="128"/>
      <c r="GU2" s="128"/>
      <c r="GV2" s="128"/>
      <c r="GW2" s="128"/>
      <c r="GX2" s="128"/>
      <c r="GY2" s="128"/>
      <c r="GZ2" s="128"/>
      <c r="HA2" s="128"/>
      <c r="HB2" s="128"/>
      <c r="HC2" s="128"/>
      <c r="HD2" s="128"/>
      <c r="HE2" s="128"/>
      <c r="HF2" s="128"/>
      <c r="HG2" s="128"/>
      <c r="HH2" s="128"/>
      <c r="HI2" s="128"/>
      <c r="HJ2" s="128"/>
      <c r="HK2" s="128"/>
      <c r="HL2" s="128"/>
      <c r="HM2" s="128"/>
      <c r="HN2" s="128"/>
      <c r="HO2" s="128"/>
      <c r="HP2" s="128"/>
      <c r="HQ2" s="128"/>
      <c r="HR2" s="128"/>
      <c r="HS2" s="128"/>
      <c r="HT2" s="128"/>
      <c r="HU2" s="128"/>
      <c r="HV2" s="128"/>
      <c r="HW2" s="128"/>
      <c r="HX2" s="128"/>
      <c r="HY2" s="128"/>
      <c r="HZ2" s="128"/>
      <c r="IA2" s="128"/>
      <c r="IB2" s="128"/>
      <c r="IC2" s="128"/>
      <c r="ID2" s="128"/>
      <c r="IE2" s="128"/>
      <c r="IF2" s="128"/>
      <c r="IG2" s="128"/>
      <c r="IH2" s="128"/>
      <c r="II2" s="128"/>
      <c r="IJ2" s="128"/>
      <c r="IK2" s="128"/>
      <c r="IL2" s="128"/>
      <c r="IM2" s="128"/>
      <c r="IN2" s="128"/>
      <c r="IO2" s="128"/>
      <c r="IP2" s="128"/>
      <c r="IQ2" s="128"/>
      <c r="IR2" s="128"/>
      <c r="IS2" s="128"/>
      <c r="IT2" s="128"/>
      <c r="IU2" s="128"/>
      <c r="IV2" s="128"/>
      <c r="IW2" s="128"/>
      <c r="IX2" s="128"/>
      <c r="IY2" s="128"/>
      <c r="IZ2" s="128"/>
      <c r="JA2" s="128"/>
      <c r="JB2" s="128"/>
      <c r="JC2" s="128"/>
      <c r="JD2" s="128"/>
      <c r="JE2" s="128"/>
      <c r="JF2" s="128"/>
      <c r="JG2" s="128"/>
      <c r="JH2" s="128"/>
      <c r="JI2" s="128"/>
      <c r="JJ2" s="128"/>
      <c r="JK2" s="128"/>
      <c r="JL2" s="128"/>
      <c r="JM2" s="128"/>
      <c r="JN2" s="128"/>
      <c r="JO2" s="128"/>
      <c r="JP2" s="128"/>
      <c r="JQ2" s="128"/>
      <c r="JR2" s="128"/>
      <c r="JS2" s="128"/>
      <c r="JT2" s="128"/>
      <c r="JU2" s="128"/>
      <c r="JV2" s="128"/>
      <c r="JW2" s="128"/>
      <c r="JX2" s="128"/>
      <c r="JY2" s="128"/>
      <c r="JZ2" s="128"/>
      <c r="KA2" s="128"/>
      <c r="KB2" s="128"/>
      <c r="KC2" s="128"/>
      <c r="KD2" s="128"/>
      <c r="KE2" s="128"/>
      <c r="KF2" s="128"/>
      <c r="KG2" s="128"/>
      <c r="KH2" s="128"/>
      <c r="KI2" s="128"/>
      <c r="KJ2" s="128"/>
      <c r="KK2" s="128"/>
      <c r="KL2" s="128"/>
      <c r="KM2" s="128"/>
      <c r="KN2" s="128"/>
      <c r="KO2" s="128"/>
      <c r="KP2" s="128"/>
      <c r="KQ2" s="128"/>
      <c r="KR2" s="128"/>
      <c r="KS2" s="128"/>
      <c r="KT2" s="128"/>
      <c r="KU2" s="128"/>
      <c r="KV2" s="128"/>
      <c r="KW2" s="128"/>
      <c r="KX2" s="128"/>
      <c r="KY2" s="128"/>
      <c r="KZ2" s="128"/>
      <c r="LA2" s="128"/>
      <c r="LB2" s="128"/>
      <c r="LC2" s="128"/>
      <c r="LD2" s="128"/>
      <c r="LE2" s="128"/>
      <c r="LF2" s="128"/>
      <c r="LG2" s="128"/>
      <c r="LH2" s="128"/>
      <c r="LI2" s="128"/>
      <c r="LJ2" s="128"/>
      <c r="LK2" s="128"/>
      <c r="LL2" s="128"/>
      <c r="LM2" s="128"/>
      <c r="LN2" s="128"/>
      <c r="LO2" s="128"/>
      <c r="LP2" s="128"/>
      <c r="LQ2" s="128"/>
      <c r="LR2" s="128"/>
      <c r="LS2" s="128"/>
      <c r="LT2" s="128"/>
      <c r="LU2" s="128"/>
      <c r="LV2" s="128"/>
      <c r="LW2" s="128"/>
      <c r="LX2" s="128"/>
      <c r="LY2" s="128"/>
      <c r="LZ2" s="128"/>
      <c r="MA2" s="128"/>
      <c r="MB2" s="128"/>
      <c r="MC2" s="128"/>
      <c r="MD2" s="128"/>
      <c r="ME2" s="128"/>
      <c r="MF2" s="128"/>
      <c r="MG2" s="128"/>
      <c r="MH2" s="128"/>
      <c r="MI2" s="128"/>
      <c r="MJ2" s="128"/>
      <c r="MK2" s="128"/>
      <c r="ML2" s="128"/>
      <c r="MM2" s="128"/>
      <c r="MN2" s="128"/>
      <c r="MO2" s="128"/>
      <c r="MP2" s="128"/>
      <c r="MQ2" s="128"/>
      <c r="MR2" s="128"/>
      <c r="MS2" s="128"/>
      <c r="MT2" s="128"/>
      <c r="MU2" s="128"/>
      <c r="MV2" s="128"/>
      <c r="MW2" s="128"/>
      <c r="MX2" s="128"/>
      <c r="MY2" s="128"/>
      <c r="MZ2" s="128"/>
      <c r="NA2" s="128"/>
      <c r="NB2" s="128"/>
      <c r="NC2" s="128"/>
      <c r="ND2" s="128"/>
      <c r="NE2" s="128"/>
      <c r="NF2" s="128"/>
      <c r="NG2" s="128"/>
      <c r="NH2" s="128"/>
      <c r="NI2" s="128"/>
      <c r="NJ2" s="128"/>
      <c r="NK2" s="128"/>
      <c r="NL2" s="128"/>
      <c r="NM2" s="128"/>
      <c r="NN2" s="128"/>
      <c r="NO2" s="128"/>
      <c r="NP2" s="128"/>
      <c r="NQ2" s="128"/>
      <c r="NR2" s="128"/>
      <c r="NS2" s="128"/>
      <c r="NT2" s="128"/>
      <c r="NU2" s="128"/>
      <c r="NV2" s="128"/>
      <c r="NW2" s="128"/>
      <c r="NX2" s="128"/>
      <c r="NY2" s="128"/>
      <c r="NZ2" s="128"/>
      <c r="OA2" s="128"/>
      <c r="OB2" s="128"/>
      <c r="OC2" s="128"/>
      <c r="OD2" s="128"/>
      <c r="OE2" s="128"/>
      <c r="OF2" s="128"/>
      <c r="OG2" s="128"/>
      <c r="OH2" s="128"/>
      <c r="OI2" s="128"/>
      <c r="OJ2" s="128"/>
      <c r="OK2" s="128"/>
      <c r="OL2" s="128"/>
      <c r="OM2" s="128"/>
      <c r="ON2" s="128"/>
      <c r="OO2" s="128"/>
      <c r="OP2" s="128"/>
      <c r="OQ2" s="128"/>
      <c r="OR2" s="128"/>
      <c r="OS2" s="128"/>
      <c r="OT2" s="128"/>
      <c r="OU2" s="128"/>
      <c r="OV2" s="128"/>
      <c r="OW2" s="128"/>
      <c r="OX2" s="128"/>
      <c r="OY2" s="128"/>
      <c r="OZ2" s="128"/>
      <c r="PA2" s="128"/>
      <c r="PB2" s="128"/>
      <c r="PC2" s="128"/>
      <c r="PD2" s="128"/>
      <c r="PE2" s="128"/>
      <c r="PF2" s="128"/>
      <c r="PG2" s="128"/>
      <c r="PH2" s="128"/>
      <c r="PI2" s="128"/>
      <c r="PJ2" s="128"/>
      <c r="PK2" s="128"/>
      <c r="PL2" s="128"/>
      <c r="PM2" s="128"/>
      <c r="PN2" s="128"/>
      <c r="PO2" s="128"/>
      <c r="PP2" s="128"/>
      <c r="PQ2" s="128"/>
      <c r="PR2" s="128"/>
      <c r="PS2" s="128"/>
      <c r="PT2" s="128"/>
      <c r="PU2" s="128"/>
      <c r="PV2" s="128"/>
      <c r="PW2" s="128"/>
      <c r="PX2" s="128"/>
      <c r="PY2" s="128"/>
      <c r="PZ2" s="128"/>
      <c r="QA2" s="128"/>
      <c r="QB2" s="128"/>
      <c r="QC2" s="128"/>
      <c r="QD2" s="128"/>
      <c r="QE2" s="128"/>
      <c r="QF2" s="128"/>
      <c r="QG2" s="128"/>
      <c r="QH2" s="128"/>
      <c r="QI2" s="128"/>
      <c r="QJ2" s="128"/>
      <c r="QK2" s="128"/>
      <c r="QL2" s="128"/>
      <c r="QM2" s="128"/>
      <c r="QN2" s="128"/>
      <c r="QO2" s="128"/>
      <c r="QP2" s="128"/>
      <c r="QQ2" s="128"/>
      <c r="QR2" s="128"/>
      <c r="QS2" s="128"/>
      <c r="QT2" s="128"/>
      <c r="QU2" s="128"/>
      <c r="QV2" s="128"/>
      <c r="QW2" s="128"/>
      <c r="QX2" s="128"/>
      <c r="QY2" s="128"/>
      <c r="QZ2" s="128"/>
      <c r="RA2" s="128"/>
      <c r="RB2" s="128"/>
      <c r="RC2" s="128"/>
      <c r="RD2" s="128"/>
      <c r="RE2" s="128"/>
      <c r="RF2" s="128"/>
      <c r="RG2" s="128"/>
      <c r="RH2" s="128"/>
      <c r="RI2" s="128"/>
      <c r="RJ2" s="128"/>
      <c r="RK2" s="128"/>
      <c r="RL2" s="128"/>
      <c r="RM2" s="128"/>
      <c r="RN2" s="128"/>
      <c r="RO2" s="128"/>
      <c r="RP2" s="128"/>
      <c r="RQ2" s="128"/>
      <c r="RR2" s="128"/>
      <c r="RS2" s="128"/>
      <c r="RT2" s="128"/>
      <c r="RU2" s="128"/>
      <c r="RV2" s="128"/>
      <c r="RW2" s="128"/>
      <c r="RX2" s="128"/>
      <c r="RY2" s="128"/>
      <c r="RZ2" s="128"/>
      <c r="SA2" s="128"/>
      <c r="SB2" s="128"/>
      <c r="SC2" s="128"/>
      <c r="SD2" s="128"/>
      <c r="SE2" s="128"/>
      <c r="SF2" s="128"/>
      <c r="SG2" s="128"/>
      <c r="SH2" s="128"/>
      <c r="SI2" s="128"/>
      <c r="SJ2" s="128"/>
      <c r="SK2" s="128"/>
      <c r="SL2" s="128"/>
      <c r="SM2" s="128"/>
      <c r="SN2" s="128"/>
      <c r="SO2" s="128"/>
      <c r="SP2" s="128"/>
      <c r="SQ2" s="128"/>
      <c r="SR2" s="128"/>
      <c r="SS2" s="128"/>
      <c r="ST2" s="128"/>
      <c r="SU2" s="128"/>
      <c r="SV2" s="128"/>
      <c r="SW2" s="128"/>
      <c r="SX2" s="128"/>
      <c r="SY2" s="128"/>
      <c r="SZ2" s="128"/>
      <c r="TA2" s="128"/>
      <c r="TB2" s="128"/>
      <c r="TC2" s="128"/>
      <c r="TD2" s="128"/>
      <c r="TE2" s="128"/>
      <c r="TF2" s="128"/>
      <c r="TG2" s="128"/>
      <c r="TH2" s="128"/>
      <c r="TI2" s="128"/>
      <c r="TJ2" s="128"/>
      <c r="TK2" s="128"/>
      <c r="TL2" s="128"/>
      <c r="TM2" s="128"/>
      <c r="TN2" s="128"/>
      <c r="TO2" s="128"/>
      <c r="TP2" s="128"/>
      <c r="TQ2" s="128"/>
      <c r="TR2" s="128"/>
      <c r="TS2" s="128"/>
      <c r="TT2" s="128"/>
      <c r="TU2" s="128"/>
      <c r="TV2" s="128"/>
      <c r="TW2" s="128"/>
      <c r="TX2" s="128"/>
      <c r="TY2" s="128"/>
      <c r="TZ2" s="128"/>
      <c r="UA2" s="128"/>
      <c r="UB2" s="128"/>
      <c r="UC2" s="128"/>
      <c r="UD2" s="128"/>
      <c r="UE2" s="128"/>
      <c r="UF2" s="128"/>
      <c r="UG2" s="128"/>
      <c r="UH2" s="128"/>
      <c r="UI2" s="128"/>
      <c r="UJ2" s="128"/>
      <c r="UK2" s="128"/>
      <c r="UL2" s="128"/>
      <c r="UM2" s="128"/>
      <c r="UN2" s="128"/>
      <c r="UO2" s="128"/>
      <c r="UP2" s="128"/>
      <c r="UQ2" s="128"/>
      <c r="UR2" s="128"/>
      <c r="US2" s="128"/>
      <c r="UT2" s="128"/>
      <c r="UU2" s="128"/>
      <c r="UV2" s="128"/>
      <c r="UW2" s="128"/>
      <c r="UX2" s="128"/>
      <c r="UY2" s="128"/>
      <c r="UZ2" s="128"/>
      <c r="VA2" s="128"/>
      <c r="VB2" s="128"/>
      <c r="VC2" s="128"/>
      <c r="VD2" s="128"/>
      <c r="VE2" s="128"/>
      <c r="VF2" s="128"/>
      <c r="VG2" s="128"/>
      <c r="VH2" s="128"/>
      <c r="VI2" s="128"/>
      <c r="VJ2" s="128"/>
      <c r="VK2" s="128"/>
      <c r="VL2" s="128"/>
      <c r="VM2" s="128"/>
      <c r="VN2" s="128"/>
      <c r="VO2" s="128"/>
      <c r="VP2" s="128"/>
      <c r="VQ2" s="128"/>
      <c r="VR2" s="128"/>
      <c r="VS2" s="128"/>
      <c r="VT2" s="128"/>
      <c r="VU2" s="128"/>
      <c r="VV2" s="128"/>
      <c r="VW2" s="128"/>
      <c r="VX2" s="128"/>
      <c r="VY2" s="128"/>
      <c r="VZ2" s="128"/>
      <c r="WA2" s="128"/>
      <c r="WB2" s="128"/>
      <c r="WC2" s="128"/>
      <c r="WD2" s="128"/>
      <c r="WE2" s="128"/>
      <c r="WF2" s="128"/>
      <c r="WG2" s="128"/>
    </row>
    <row r="3" spans="1:605" s="123" customFormat="1" ht="24.75" customHeight="1" x14ac:dyDescent="0.15">
      <c r="A3" s="223"/>
      <c r="B3" s="129" t="s">
        <v>404</v>
      </c>
      <c r="C3" s="130" t="s">
        <v>437</v>
      </c>
      <c r="D3" s="132" t="s">
        <v>443</v>
      </c>
      <c r="E3" s="132" t="s">
        <v>444</v>
      </c>
      <c r="F3" s="132" t="s">
        <v>443</v>
      </c>
      <c r="G3" s="132" t="s">
        <v>443</v>
      </c>
      <c r="H3" s="132" t="s">
        <v>443</v>
      </c>
      <c r="I3" s="132" t="s">
        <v>443</v>
      </c>
      <c r="J3" s="132" t="s">
        <v>443</v>
      </c>
      <c r="K3" s="132"/>
      <c r="L3" s="132"/>
      <c r="M3" s="132"/>
      <c r="N3" s="132"/>
      <c r="O3" s="132"/>
      <c r="P3" s="132"/>
      <c r="Q3" s="132"/>
      <c r="R3" s="132"/>
      <c r="S3" s="132"/>
      <c r="T3" s="132" t="s">
        <v>471</v>
      </c>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2"/>
      <c r="BP3" s="132"/>
      <c r="BQ3" s="132"/>
      <c r="BR3" s="132"/>
      <c r="BS3" s="132"/>
      <c r="BT3" s="132"/>
      <c r="BU3" s="132"/>
      <c r="BV3" s="132"/>
      <c r="BW3" s="132"/>
      <c r="BX3" s="132"/>
      <c r="BY3" s="132"/>
      <c r="BZ3" s="132"/>
      <c r="CA3" s="132"/>
      <c r="CB3" s="132"/>
      <c r="CC3" s="132"/>
      <c r="CD3" s="132"/>
      <c r="CE3" s="132"/>
      <c r="CF3" s="132"/>
      <c r="CG3" s="132"/>
      <c r="CH3" s="132"/>
      <c r="CI3" s="132"/>
      <c r="CJ3" s="132"/>
      <c r="CK3" s="132"/>
      <c r="CL3" s="132"/>
      <c r="CM3" s="132"/>
      <c r="CN3" s="132"/>
      <c r="CO3" s="132"/>
      <c r="CP3" s="132"/>
      <c r="CQ3" s="132"/>
      <c r="CR3" s="132"/>
      <c r="CS3" s="132"/>
      <c r="CT3" s="132"/>
      <c r="CU3" s="132"/>
      <c r="CV3" s="132"/>
      <c r="CW3" s="132"/>
      <c r="CX3" s="132"/>
      <c r="CY3" s="132"/>
      <c r="CZ3" s="132"/>
      <c r="DA3" s="132"/>
      <c r="DB3" s="132"/>
      <c r="DC3" s="132"/>
      <c r="DD3" s="132"/>
      <c r="DE3" s="132"/>
      <c r="DF3" s="132"/>
      <c r="DG3" s="132"/>
      <c r="DH3" s="132"/>
      <c r="DI3" s="132"/>
      <c r="DJ3" s="132"/>
      <c r="DK3" s="132"/>
      <c r="DL3" s="132"/>
      <c r="DM3" s="132"/>
      <c r="DN3" s="132"/>
      <c r="DO3" s="132"/>
      <c r="DP3" s="132"/>
      <c r="DQ3" s="132"/>
      <c r="DR3" s="132"/>
      <c r="DS3" s="132"/>
      <c r="DT3" s="132"/>
      <c r="DU3" s="132"/>
      <c r="DV3" s="132"/>
      <c r="DW3" s="132"/>
      <c r="DX3" s="132"/>
      <c r="DY3" s="132"/>
      <c r="DZ3" s="132"/>
      <c r="EA3" s="132"/>
      <c r="EB3" s="132"/>
      <c r="EC3" s="132"/>
      <c r="ED3" s="132"/>
      <c r="EE3" s="132"/>
      <c r="EF3" s="132"/>
      <c r="EG3" s="132"/>
      <c r="EH3" s="132"/>
      <c r="EI3" s="132"/>
      <c r="EJ3" s="132"/>
      <c r="EK3" s="132"/>
      <c r="EL3" s="132"/>
      <c r="EM3" s="132"/>
      <c r="EN3" s="132"/>
      <c r="EO3" s="132"/>
      <c r="EP3" s="132"/>
      <c r="EQ3" s="132"/>
      <c r="ER3" s="132"/>
      <c r="ES3" s="132"/>
      <c r="ET3" s="132"/>
      <c r="EU3" s="132"/>
      <c r="EV3" s="132"/>
      <c r="EW3" s="132"/>
      <c r="EX3" s="132"/>
      <c r="EY3" s="132"/>
      <c r="EZ3" s="132"/>
      <c r="FA3" s="132"/>
      <c r="FB3" s="132"/>
      <c r="FC3" s="132"/>
      <c r="FD3" s="132"/>
      <c r="FE3" s="132"/>
      <c r="FF3" s="132"/>
      <c r="FG3" s="132"/>
      <c r="FH3" s="132"/>
      <c r="FI3" s="132"/>
      <c r="FJ3" s="132"/>
      <c r="FK3" s="132"/>
      <c r="FL3" s="132"/>
      <c r="FM3" s="132"/>
      <c r="FN3" s="132"/>
      <c r="FO3" s="132"/>
      <c r="FP3" s="132"/>
      <c r="FQ3" s="132"/>
      <c r="FR3" s="132"/>
      <c r="FS3" s="132"/>
      <c r="FT3" s="132"/>
      <c r="FU3" s="132"/>
      <c r="FV3" s="132"/>
      <c r="FW3" s="132"/>
      <c r="FX3" s="132"/>
      <c r="FY3" s="132"/>
      <c r="FZ3" s="132"/>
      <c r="GA3" s="132"/>
      <c r="GB3" s="132"/>
      <c r="GC3" s="132"/>
      <c r="GD3" s="132"/>
      <c r="GE3" s="132"/>
      <c r="GF3" s="132"/>
      <c r="GG3" s="132"/>
      <c r="GH3" s="132"/>
      <c r="GI3" s="132"/>
      <c r="GJ3" s="132"/>
      <c r="GK3" s="132"/>
      <c r="GL3" s="132"/>
      <c r="GM3" s="132"/>
      <c r="GN3" s="132"/>
      <c r="GO3" s="132"/>
      <c r="GP3" s="132"/>
      <c r="GQ3" s="132"/>
      <c r="GR3" s="132"/>
      <c r="GS3" s="132"/>
      <c r="GT3" s="132"/>
      <c r="GU3" s="132"/>
      <c r="GV3" s="132"/>
      <c r="GW3" s="132"/>
      <c r="GX3" s="132"/>
      <c r="GY3" s="132"/>
      <c r="GZ3" s="132"/>
      <c r="HA3" s="132"/>
      <c r="HB3" s="132"/>
      <c r="HC3" s="132"/>
      <c r="HD3" s="132"/>
      <c r="HE3" s="132"/>
      <c r="HF3" s="132"/>
      <c r="HG3" s="132"/>
      <c r="HH3" s="132"/>
      <c r="HI3" s="132"/>
      <c r="HJ3" s="132"/>
      <c r="HK3" s="132"/>
      <c r="HL3" s="132"/>
      <c r="HM3" s="132"/>
      <c r="HN3" s="132"/>
      <c r="HO3" s="132"/>
      <c r="HP3" s="132"/>
      <c r="HQ3" s="132"/>
      <c r="HR3" s="132"/>
      <c r="HS3" s="132"/>
      <c r="HT3" s="132"/>
      <c r="HU3" s="132"/>
      <c r="HV3" s="132"/>
      <c r="HW3" s="132"/>
      <c r="HX3" s="132"/>
      <c r="HY3" s="132"/>
      <c r="HZ3" s="132"/>
      <c r="IA3" s="132"/>
      <c r="IB3" s="132"/>
      <c r="IC3" s="132"/>
      <c r="ID3" s="132"/>
      <c r="IE3" s="132"/>
      <c r="IF3" s="132"/>
      <c r="IG3" s="132"/>
      <c r="IH3" s="132"/>
      <c r="II3" s="132"/>
      <c r="IJ3" s="132"/>
      <c r="IK3" s="132"/>
      <c r="IL3" s="132"/>
      <c r="IM3" s="132"/>
      <c r="IN3" s="132"/>
      <c r="IO3" s="132"/>
      <c r="IP3" s="132"/>
      <c r="IQ3" s="132"/>
      <c r="IR3" s="132"/>
      <c r="IS3" s="132"/>
      <c r="IT3" s="132"/>
      <c r="IU3" s="132"/>
      <c r="IV3" s="132"/>
      <c r="IW3" s="132"/>
      <c r="IX3" s="132"/>
      <c r="IY3" s="132"/>
      <c r="IZ3" s="132"/>
      <c r="JA3" s="132"/>
      <c r="JB3" s="132"/>
      <c r="JC3" s="132"/>
      <c r="JD3" s="132"/>
      <c r="JE3" s="132"/>
      <c r="JF3" s="132"/>
      <c r="JG3" s="132"/>
      <c r="JH3" s="132"/>
      <c r="JI3" s="132"/>
      <c r="JJ3" s="132"/>
      <c r="JK3" s="132"/>
      <c r="JL3" s="132"/>
      <c r="JM3" s="132"/>
      <c r="JN3" s="132"/>
      <c r="JO3" s="132"/>
      <c r="JP3" s="132"/>
      <c r="JQ3" s="132"/>
      <c r="JR3" s="132"/>
      <c r="JS3" s="132"/>
      <c r="JT3" s="132"/>
      <c r="JU3" s="132"/>
      <c r="JV3" s="132"/>
      <c r="JW3" s="132"/>
      <c r="JX3" s="132"/>
      <c r="JY3" s="132"/>
      <c r="JZ3" s="132"/>
      <c r="KA3" s="132"/>
      <c r="KB3" s="132"/>
      <c r="KC3" s="132"/>
      <c r="KD3" s="132"/>
      <c r="KE3" s="132"/>
      <c r="KF3" s="132"/>
      <c r="KG3" s="132"/>
      <c r="KH3" s="132"/>
      <c r="KI3" s="132"/>
      <c r="KJ3" s="132"/>
      <c r="KK3" s="132"/>
      <c r="KL3" s="132"/>
      <c r="KM3" s="132"/>
      <c r="KN3" s="132"/>
      <c r="KO3" s="132"/>
      <c r="KP3" s="132"/>
      <c r="KQ3" s="132"/>
      <c r="KR3" s="132"/>
      <c r="KS3" s="132"/>
      <c r="KT3" s="132"/>
      <c r="KU3" s="132"/>
      <c r="KV3" s="132"/>
      <c r="KW3" s="132"/>
      <c r="KX3" s="132"/>
      <c r="KY3" s="132"/>
      <c r="KZ3" s="132"/>
      <c r="LA3" s="132"/>
      <c r="LB3" s="132"/>
      <c r="LC3" s="132"/>
      <c r="LD3" s="132"/>
      <c r="LE3" s="132"/>
      <c r="LF3" s="132"/>
      <c r="LG3" s="132"/>
      <c r="LH3" s="132"/>
      <c r="LI3" s="132"/>
      <c r="LJ3" s="132"/>
      <c r="LK3" s="132"/>
      <c r="LL3" s="132"/>
      <c r="LM3" s="132"/>
      <c r="LN3" s="132"/>
      <c r="LO3" s="132"/>
      <c r="LP3" s="132"/>
      <c r="LQ3" s="132"/>
      <c r="LR3" s="132"/>
      <c r="LS3" s="132"/>
      <c r="LT3" s="132"/>
      <c r="LU3" s="132"/>
      <c r="LV3" s="132"/>
      <c r="LW3" s="132"/>
      <c r="LX3" s="132"/>
      <c r="LY3" s="132"/>
      <c r="LZ3" s="132"/>
      <c r="MA3" s="132"/>
      <c r="MB3" s="132"/>
      <c r="MC3" s="132"/>
      <c r="MD3" s="132"/>
      <c r="ME3" s="132"/>
      <c r="MF3" s="132"/>
      <c r="MG3" s="132"/>
      <c r="MH3" s="132"/>
      <c r="MI3" s="132"/>
      <c r="MJ3" s="132"/>
      <c r="MK3" s="132"/>
      <c r="ML3" s="132"/>
      <c r="MM3" s="132"/>
      <c r="MN3" s="132"/>
      <c r="MO3" s="132"/>
      <c r="MP3" s="132"/>
      <c r="MQ3" s="132"/>
      <c r="MR3" s="132"/>
      <c r="MS3" s="132"/>
      <c r="MT3" s="132"/>
      <c r="MU3" s="132"/>
      <c r="MV3" s="132"/>
      <c r="MW3" s="132"/>
      <c r="MX3" s="132"/>
      <c r="MY3" s="132"/>
      <c r="MZ3" s="132"/>
      <c r="NA3" s="132"/>
      <c r="NB3" s="132"/>
      <c r="NC3" s="132"/>
      <c r="ND3" s="132"/>
      <c r="NE3" s="132"/>
      <c r="NF3" s="132"/>
      <c r="NG3" s="132"/>
      <c r="NH3" s="132"/>
      <c r="NI3" s="132"/>
      <c r="NJ3" s="132"/>
      <c r="NK3" s="132"/>
      <c r="NL3" s="132"/>
      <c r="NM3" s="132"/>
      <c r="NN3" s="132"/>
      <c r="NO3" s="132"/>
      <c r="NP3" s="132"/>
      <c r="NQ3" s="132"/>
      <c r="NR3" s="132"/>
      <c r="NS3" s="132"/>
      <c r="NT3" s="132"/>
      <c r="NU3" s="132"/>
      <c r="NV3" s="132"/>
      <c r="NW3" s="132"/>
      <c r="NX3" s="132"/>
      <c r="NY3" s="132"/>
      <c r="NZ3" s="132"/>
      <c r="OA3" s="132"/>
      <c r="OB3" s="132"/>
      <c r="OC3" s="132"/>
      <c r="OD3" s="132"/>
      <c r="OE3" s="132"/>
      <c r="OF3" s="132"/>
      <c r="OG3" s="132"/>
      <c r="OH3" s="132"/>
      <c r="OI3" s="132"/>
      <c r="OJ3" s="132"/>
      <c r="OK3" s="132"/>
      <c r="OL3" s="132"/>
      <c r="OM3" s="132"/>
      <c r="ON3" s="132"/>
      <c r="OO3" s="132"/>
      <c r="OP3" s="132"/>
      <c r="OQ3" s="132"/>
      <c r="OR3" s="132"/>
      <c r="OS3" s="132"/>
      <c r="OT3" s="132"/>
      <c r="OU3" s="132"/>
      <c r="OV3" s="132"/>
      <c r="OW3" s="132"/>
      <c r="OX3" s="132"/>
      <c r="OY3" s="132"/>
      <c r="OZ3" s="132"/>
      <c r="PA3" s="132"/>
      <c r="PB3" s="132"/>
      <c r="PC3" s="132"/>
      <c r="PD3" s="132"/>
      <c r="PE3" s="132"/>
      <c r="PF3" s="132"/>
      <c r="PG3" s="132"/>
      <c r="PH3" s="132"/>
      <c r="PI3" s="132"/>
      <c r="PJ3" s="132"/>
      <c r="PK3" s="132"/>
      <c r="PL3" s="132"/>
      <c r="PM3" s="132"/>
      <c r="PN3" s="132"/>
      <c r="PO3" s="132"/>
      <c r="PP3" s="132"/>
      <c r="PQ3" s="132"/>
      <c r="PR3" s="132"/>
      <c r="PS3" s="132"/>
      <c r="PT3" s="132"/>
      <c r="PU3" s="132"/>
      <c r="PV3" s="132"/>
      <c r="PW3" s="132"/>
      <c r="PX3" s="132"/>
      <c r="PY3" s="132"/>
      <c r="PZ3" s="132"/>
      <c r="QA3" s="132"/>
      <c r="QB3" s="132"/>
      <c r="QC3" s="132"/>
      <c r="QD3" s="132"/>
      <c r="QE3" s="132"/>
      <c r="QF3" s="132"/>
      <c r="QG3" s="132"/>
      <c r="QH3" s="132"/>
      <c r="QI3" s="132"/>
      <c r="QJ3" s="132"/>
      <c r="QK3" s="132"/>
      <c r="QL3" s="132"/>
      <c r="QM3" s="132"/>
      <c r="QN3" s="132"/>
      <c r="QO3" s="132"/>
      <c r="QP3" s="132"/>
      <c r="QQ3" s="132"/>
      <c r="QR3" s="132"/>
      <c r="QS3" s="132"/>
      <c r="QT3" s="132"/>
      <c r="QU3" s="132"/>
      <c r="QV3" s="132"/>
      <c r="QW3" s="132"/>
      <c r="QX3" s="132"/>
      <c r="QY3" s="132"/>
      <c r="QZ3" s="132"/>
      <c r="RA3" s="132"/>
      <c r="RB3" s="132"/>
      <c r="RC3" s="132"/>
      <c r="RD3" s="132"/>
      <c r="RE3" s="132"/>
      <c r="RF3" s="132"/>
      <c r="RG3" s="132"/>
      <c r="RH3" s="132"/>
      <c r="RI3" s="132"/>
      <c r="RJ3" s="132"/>
      <c r="RK3" s="132"/>
      <c r="RL3" s="132"/>
      <c r="RM3" s="132"/>
      <c r="RN3" s="132"/>
      <c r="RO3" s="132"/>
      <c r="RP3" s="132"/>
      <c r="RQ3" s="132"/>
      <c r="RR3" s="132"/>
      <c r="RS3" s="132"/>
      <c r="RT3" s="132"/>
      <c r="RU3" s="132"/>
      <c r="RV3" s="132"/>
      <c r="RW3" s="132"/>
      <c r="RX3" s="132"/>
      <c r="RY3" s="132"/>
      <c r="RZ3" s="132"/>
      <c r="SA3" s="132"/>
      <c r="SB3" s="132"/>
      <c r="SC3" s="132"/>
      <c r="SD3" s="132"/>
      <c r="SE3" s="132"/>
      <c r="SF3" s="132"/>
      <c r="SG3" s="132"/>
      <c r="SH3" s="132"/>
      <c r="SI3" s="132"/>
      <c r="SJ3" s="132"/>
      <c r="SK3" s="132"/>
      <c r="SL3" s="132"/>
      <c r="SM3" s="132"/>
      <c r="SN3" s="132"/>
      <c r="SO3" s="132"/>
      <c r="SP3" s="132"/>
      <c r="SQ3" s="132"/>
      <c r="SR3" s="132"/>
      <c r="SS3" s="132"/>
      <c r="ST3" s="132"/>
      <c r="SU3" s="132"/>
      <c r="SV3" s="132"/>
      <c r="SW3" s="132"/>
      <c r="SX3" s="132"/>
      <c r="SY3" s="132"/>
      <c r="SZ3" s="132"/>
      <c r="TA3" s="132"/>
      <c r="TB3" s="132"/>
      <c r="TC3" s="132"/>
      <c r="TD3" s="132"/>
      <c r="TE3" s="132"/>
      <c r="TF3" s="132"/>
      <c r="TG3" s="132"/>
      <c r="TH3" s="132"/>
      <c r="TI3" s="132"/>
      <c r="TJ3" s="132"/>
      <c r="TK3" s="132"/>
      <c r="TL3" s="132"/>
      <c r="TM3" s="132"/>
      <c r="TN3" s="132"/>
      <c r="TO3" s="132"/>
      <c r="TP3" s="132"/>
      <c r="TQ3" s="132"/>
      <c r="TR3" s="132"/>
      <c r="TS3" s="132"/>
      <c r="TT3" s="132"/>
      <c r="TU3" s="132"/>
      <c r="TV3" s="132"/>
      <c r="TW3" s="132"/>
      <c r="TX3" s="132"/>
      <c r="TY3" s="132"/>
      <c r="TZ3" s="132"/>
      <c r="UA3" s="132"/>
      <c r="UB3" s="132"/>
      <c r="UC3" s="132"/>
      <c r="UD3" s="132"/>
      <c r="UE3" s="132"/>
      <c r="UF3" s="132"/>
      <c r="UG3" s="132"/>
      <c r="UH3" s="132"/>
      <c r="UI3" s="132"/>
      <c r="UJ3" s="132"/>
      <c r="UK3" s="132"/>
      <c r="UL3" s="132"/>
      <c r="UM3" s="132"/>
      <c r="UN3" s="132"/>
      <c r="UO3" s="132"/>
      <c r="UP3" s="132"/>
      <c r="UQ3" s="132"/>
      <c r="UR3" s="132"/>
      <c r="US3" s="132"/>
      <c r="UT3" s="132"/>
      <c r="UU3" s="132"/>
      <c r="UV3" s="132"/>
      <c r="UW3" s="132"/>
      <c r="UX3" s="132"/>
      <c r="UY3" s="132"/>
      <c r="UZ3" s="132"/>
      <c r="VA3" s="132"/>
      <c r="VB3" s="132"/>
      <c r="VC3" s="132"/>
      <c r="VD3" s="132"/>
      <c r="VE3" s="132"/>
      <c r="VF3" s="132"/>
      <c r="VG3" s="132"/>
      <c r="VH3" s="132"/>
      <c r="VI3" s="132"/>
      <c r="VJ3" s="132"/>
      <c r="VK3" s="132"/>
      <c r="VL3" s="132"/>
      <c r="VM3" s="132"/>
      <c r="VN3" s="132"/>
      <c r="VO3" s="132"/>
      <c r="VP3" s="132"/>
      <c r="VQ3" s="132"/>
      <c r="VR3" s="132"/>
      <c r="VS3" s="132"/>
      <c r="VT3" s="132"/>
      <c r="VU3" s="132"/>
      <c r="VV3" s="132"/>
      <c r="VW3" s="132"/>
      <c r="VX3" s="132"/>
      <c r="VY3" s="132"/>
      <c r="VZ3" s="132"/>
      <c r="WA3" s="132"/>
      <c r="WB3" s="132"/>
      <c r="WC3" s="132"/>
      <c r="WD3" s="132"/>
      <c r="WE3" s="132"/>
      <c r="WF3" s="132"/>
      <c r="WG3" s="132"/>
    </row>
    <row r="4" spans="1:605" s="123" customFormat="1" ht="24" customHeight="1" x14ac:dyDescent="0.15">
      <c r="A4" s="223"/>
      <c r="B4" s="133" t="s">
        <v>283</v>
      </c>
      <c r="C4" s="134" t="s">
        <v>283</v>
      </c>
      <c r="D4" s="131" t="s">
        <v>297</v>
      </c>
      <c r="E4" s="131" t="s">
        <v>445</v>
      </c>
      <c r="F4" s="131" t="s">
        <v>445</v>
      </c>
      <c r="G4" s="131" t="s">
        <v>445</v>
      </c>
      <c r="H4" s="131" t="s">
        <v>445</v>
      </c>
      <c r="I4" s="131" t="s">
        <v>445</v>
      </c>
      <c r="J4" s="131" t="s">
        <v>445</v>
      </c>
      <c r="K4" s="131"/>
      <c r="L4" s="131"/>
      <c r="M4" s="131"/>
      <c r="N4" s="131"/>
      <c r="O4" s="131"/>
      <c r="P4" s="131"/>
      <c r="Q4" s="131"/>
      <c r="R4" s="131"/>
      <c r="S4" s="131"/>
      <c r="T4" s="131" t="s">
        <v>468</v>
      </c>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c r="BE4" s="131"/>
      <c r="BF4" s="131"/>
      <c r="BG4" s="131"/>
      <c r="BH4" s="131"/>
      <c r="BI4" s="131"/>
      <c r="BJ4" s="131"/>
      <c r="BK4" s="131"/>
      <c r="BL4" s="131"/>
      <c r="BM4" s="131"/>
      <c r="BN4" s="131"/>
      <c r="BO4" s="131"/>
      <c r="BP4" s="131"/>
      <c r="BQ4" s="131"/>
      <c r="BR4" s="131"/>
      <c r="BS4" s="131"/>
      <c r="BT4" s="131"/>
      <c r="BU4" s="131"/>
      <c r="BV4" s="131"/>
      <c r="BW4" s="131"/>
      <c r="BX4" s="131"/>
      <c r="BY4" s="131"/>
      <c r="BZ4" s="131"/>
      <c r="CA4" s="131"/>
      <c r="CB4" s="131"/>
      <c r="CC4" s="131"/>
      <c r="CD4" s="131"/>
      <c r="CE4" s="131"/>
      <c r="CF4" s="131"/>
      <c r="CG4" s="131"/>
      <c r="CH4" s="131"/>
      <c r="CI4" s="131"/>
      <c r="CJ4" s="131"/>
      <c r="CK4" s="131"/>
      <c r="CL4" s="131"/>
      <c r="CM4" s="131"/>
      <c r="CN4" s="131"/>
      <c r="CO4" s="131"/>
      <c r="CP4" s="131"/>
      <c r="CQ4" s="131"/>
      <c r="CR4" s="131"/>
      <c r="CS4" s="131"/>
      <c r="CT4" s="131"/>
      <c r="CU4" s="131"/>
      <c r="CV4" s="131"/>
      <c r="CW4" s="131"/>
      <c r="CX4" s="131"/>
      <c r="CY4" s="131"/>
      <c r="CZ4" s="131"/>
      <c r="DA4" s="131"/>
      <c r="DB4" s="131"/>
      <c r="DC4" s="131"/>
      <c r="DD4" s="131"/>
      <c r="DE4" s="131"/>
      <c r="DF4" s="131"/>
      <c r="DG4" s="131"/>
      <c r="DH4" s="131"/>
      <c r="DI4" s="131"/>
      <c r="DJ4" s="131"/>
      <c r="DK4" s="131"/>
      <c r="DL4" s="131"/>
      <c r="DM4" s="131"/>
      <c r="DN4" s="131"/>
      <c r="DO4" s="131"/>
      <c r="DP4" s="131"/>
      <c r="DQ4" s="131"/>
      <c r="DR4" s="131"/>
      <c r="DS4" s="131"/>
      <c r="DT4" s="131"/>
      <c r="DU4" s="131"/>
      <c r="DV4" s="131"/>
      <c r="DW4" s="131"/>
      <c r="DX4" s="131"/>
      <c r="DY4" s="131"/>
      <c r="DZ4" s="131"/>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1"/>
      <c r="FG4" s="131"/>
      <c r="FH4" s="131"/>
      <c r="FI4" s="131"/>
      <c r="FJ4" s="131"/>
      <c r="FK4" s="131"/>
      <c r="FL4" s="131"/>
      <c r="FM4" s="131"/>
      <c r="FN4" s="131"/>
      <c r="FO4" s="131"/>
      <c r="FP4" s="131"/>
      <c r="FQ4" s="131"/>
      <c r="FR4" s="131"/>
      <c r="FS4" s="131"/>
      <c r="FT4" s="131"/>
      <c r="FU4" s="131"/>
      <c r="FV4" s="131"/>
      <c r="FW4" s="131"/>
      <c r="FX4" s="131"/>
      <c r="FY4" s="131"/>
      <c r="FZ4" s="131"/>
      <c r="GA4" s="131"/>
      <c r="GB4" s="131"/>
      <c r="GC4" s="131"/>
      <c r="GD4" s="131"/>
      <c r="GE4" s="131"/>
      <c r="GF4" s="131"/>
      <c r="GG4" s="131"/>
      <c r="GH4" s="131"/>
      <c r="GI4" s="131"/>
      <c r="GJ4" s="131"/>
      <c r="GK4" s="131"/>
      <c r="GL4" s="131"/>
      <c r="GM4" s="131"/>
      <c r="GN4" s="131"/>
      <c r="GO4" s="131"/>
      <c r="GP4" s="131"/>
      <c r="GQ4" s="131"/>
      <c r="GR4" s="131"/>
      <c r="GS4" s="131"/>
      <c r="GT4" s="131"/>
      <c r="GU4" s="131"/>
      <c r="GV4" s="131"/>
      <c r="GW4" s="131"/>
      <c r="GX4" s="131"/>
      <c r="GY4" s="131"/>
      <c r="GZ4" s="131"/>
      <c r="HA4" s="131"/>
      <c r="HB4" s="131"/>
      <c r="HC4" s="131"/>
      <c r="HD4" s="131"/>
      <c r="HE4" s="131"/>
      <c r="HF4" s="131"/>
      <c r="HG4" s="131"/>
      <c r="HH4" s="131"/>
      <c r="HI4" s="131"/>
      <c r="HJ4" s="131"/>
      <c r="HK4" s="131"/>
      <c r="HL4" s="131"/>
      <c r="HM4" s="131"/>
      <c r="HN4" s="131"/>
      <c r="HO4" s="131"/>
      <c r="HP4" s="131"/>
      <c r="HQ4" s="131"/>
      <c r="HR4" s="131"/>
      <c r="HS4" s="131"/>
      <c r="HT4" s="131"/>
      <c r="HU4" s="131"/>
      <c r="HV4" s="131"/>
      <c r="HW4" s="131"/>
      <c r="HX4" s="131"/>
      <c r="HY4" s="131"/>
      <c r="HZ4" s="131"/>
      <c r="IA4" s="131"/>
      <c r="IB4" s="131"/>
      <c r="IC4" s="131"/>
      <c r="ID4" s="131"/>
      <c r="IE4" s="131"/>
      <c r="IF4" s="131"/>
      <c r="IG4" s="131"/>
      <c r="IH4" s="131"/>
      <c r="II4" s="131"/>
      <c r="IJ4" s="131"/>
      <c r="IK4" s="131"/>
      <c r="IL4" s="131"/>
      <c r="IM4" s="131"/>
      <c r="IN4" s="131"/>
      <c r="IO4" s="131"/>
      <c r="IP4" s="131"/>
      <c r="IQ4" s="131"/>
      <c r="IR4" s="131"/>
      <c r="IS4" s="131"/>
      <c r="IT4" s="131"/>
      <c r="IU4" s="131"/>
      <c r="IV4" s="131"/>
      <c r="IW4" s="131"/>
      <c r="IX4" s="131"/>
      <c r="IY4" s="131"/>
      <c r="IZ4" s="131"/>
      <c r="JA4" s="131"/>
      <c r="JB4" s="131"/>
      <c r="JC4" s="131"/>
      <c r="JD4" s="131"/>
      <c r="JE4" s="131"/>
      <c r="JF4" s="131"/>
      <c r="JG4" s="131"/>
      <c r="JH4" s="131"/>
      <c r="JI4" s="131"/>
      <c r="JJ4" s="131"/>
      <c r="JK4" s="131"/>
      <c r="JL4" s="131"/>
      <c r="JM4" s="131"/>
      <c r="JN4" s="131"/>
      <c r="JO4" s="131"/>
      <c r="JP4" s="131"/>
      <c r="JQ4" s="131"/>
      <c r="JR4" s="131"/>
      <c r="JS4" s="131"/>
      <c r="JT4" s="131"/>
      <c r="JU4" s="131"/>
      <c r="JV4" s="131"/>
      <c r="JW4" s="131"/>
      <c r="JX4" s="131"/>
      <c r="JY4" s="131"/>
      <c r="JZ4" s="131"/>
      <c r="KA4" s="131"/>
      <c r="KB4" s="131"/>
      <c r="KC4" s="131"/>
      <c r="KD4" s="131"/>
      <c r="KE4" s="131"/>
      <c r="KF4" s="131"/>
      <c r="KG4" s="131"/>
      <c r="KH4" s="131"/>
      <c r="KI4" s="131"/>
      <c r="KJ4" s="131"/>
      <c r="KK4" s="131"/>
      <c r="KL4" s="131"/>
      <c r="KM4" s="131"/>
      <c r="KN4" s="131"/>
      <c r="KO4" s="131"/>
      <c r="KP4" s="131"/>
      <c r="KQ4" s="131"/>
      <c r="KR4" s="131"/>
      <c r="KS4" s="131"/>
      <c r="KT4" s="131"/>
      <c r="KU4" s="131"/>
      <c r="KV4" s="131"/>
      <c r="KW4" s="131"/>
      <c r="KX4" s="131"/>
      <c r="KY4" s="131"/>
      <c r="KZ4" s="131"/>
      <c r="LA4" s="131"/>
      <c r="LB4" s="131"/>
      <c r="LC4" s="131"/>
      <c r="LD4" s="131"/>
      <c r="LE4" s="131"/>
      <c r="LF4" s="131"/>
      <c r="LG4" s="131"/>
      <c r="LH4" s="131"/>
      <c r="LI4" s="131"/>
      <c r="LJ4" s="131"/>
      <c r="LK4" s="131"/>
      <c r="LL4" s="131"/>
      <c r="LM4" s="131"/>
      <c r="LN4" s="131"/>
      <c r="LO4" s="131"/>
      <c r="LP4" s="131"/>
      <c r="LQ4" s="131"/>
      <c r="LR4" s="131"/>
      <c r="LS4" s="131"/>
      <c r="LT4" s="131"/>
      <c r="LU4" s="131"/>
      <c r="LV4" s="131"/>
      <c r="LW4" s="131"/>
      <c r="LX4" s="131"/>
      <c r="LY4" s="131"/>
      <c r="LZ4" s="131"/>
      <c r="MA4" s="131"/>
      <c r="MB4" s="131"/>
      <c r="MC4" s="131"/>
      <c r="MD4" s="131"/>
      <c r="ME4" s="131"/>
      <c r="MF4" s="131"/>
      <c r="MG4" s="131"/>
      <c r="MH4" s="131"/>
      <c r="MI4" s="131"/>
      <c r="MJ4" s="131"/>
      <c r="MK4" s="131"/>
      <c r="ML4" s="131"/>
      <c r="MM4" s="131"/>
      <c r="MN4" s="131"/>
      <c r="MO4" s="131"/>
      <c r="MP4" s="131"/>
      <c r="MQ4" s="131"/>
      <c r="MR4" s="131"/>
      <c r="MS4" s="131"/>
      <c r="MT4" s="131"/>
      <c r="MU4" s="131"/>
      <c r="MV4" s="131"/>
      <c r="MW4" s="131"/>
      <c r="MX4" s="131"/>
      <c r="MY4" s="131"/>
      <c r="MZ4" s="131"/>
      <c r="NA4" s="131"/>
      <c r="NB4" s="131"/>
      <c r="NC4" s="131"/>
      <c r="ND4" s="131"/>
      <c r="NE4" s="131"/>
      <c r="NF4" s="131"/>
      <c r="NG4" s="131"/>
      <c r="NH4" s="131"/>
      <c r="NI4" s="131"/>
      <c r="NJ4" s="131"/>
      <c r="NK4" s="131"/>
      <c r="NL4" s="131"/>
      <c r="NM4" s="131"/>
      <c r="NN4" s="131"/>
      <c r="NO4" s="131"/>
      <c r="NP4" s="131"/>
      <c r="NQ4" s="131"/>
      <c r="NR4" s="131"/>
      <c r="NS4" s="131"/>
      <c r="NT4" s="131"/>
      <c r="NU4" s="131"/>
      <c r="NV4" s="131"/>
      <c r="NW4" s="131"/>
      <c r="NX4" s="131"/>
      <c r="NY4" s="131"/>
      <c r="NZ4" s="131"/>
      <c r="OA4" s="131"/>
      <c r="OB4" s="131"/>
      <c r="OC4" s="131"/>
      <c r="OD4" s="131"/>
      <c r="OE4" s="131"/>
      <c r="OF4" s="131"/>
      <c r="OG4" s="131"/>
      <c r="OH4" s="131"/>
      <c r="OI4" s="131"/>
      <c r="OJ4" s="131"/>
      <c r="OK4" s="131"/>
      <c r="OL4" s="131"/>
      <c r="OM4" s="131"/>
      <c r="ON4" s="131"/>
      <c r="OO4" s="131"/>
      <c r="OP4" s="131"/>
      <c r="OQ4" s="131"/>
      <c r="OR4" s="131"/>
      <c r="OS4" s="131"/>
      <c r="OT4" s="131"/>
      <c r="OU4" s="131"/>
      <c r="OV4" s="131"/>
      <c r="OW4" s="131"/>
      <c r="OX4" s="131"/>
      <c r="OY4" s="131"/>
      <c r="OZ4" s="131"/>
      <c r="PA4" s="131"/>
      <c r="PB4" s="131"/>
      <c r="PC4" s="131"/>
      <c r="PD4" s="131"/>
      <c r="PE4" s="131"/>
      <c r="PF4" s="131"/>
      <c r="PG4" s="131"/>
      <c r="PH4" s="131"/>
      <c r="PI4" s="131"/>
      <c r="PJ4" s="131"/>
      <c r="PK4" s="131"/>
      <c r="PL4" s="131"/>
      <c r="PM4" s="131"/>
      <c r="PN4" s="131"/>
      <c r="PO4" s="131"/>
      <c r="PP4" s="131"/>
      <c r="PQ4" s="131"/>
      <c r="PR4" s="131"/>
      <c r="PS4" s="131"/>
      <c r="PT4" s="131"/>
      <c r="PU4" s="131"/>
      <c r="PV4" s="131"/>
      <c r="PW4" s="131"/>
      <c r="PX4" s="131"/>
      <c r="PY4" s="131"/>
      <c r="PZ4" s="131"/>
      <c r="QA4" s="131"/>
      <c r="QB4" s="131"/>
      <c r="QC4" s="131"/>
      <c r="QD4" s="131"/>
      <c r="QE4" s="131"/>
      <c r="QF4" s="131"/>
      <c r="QG4" s="131"/>
      <c r="QH4" s="131"/>
      <c r="QI4" s="131"/>
      <c r="QJ4" s="131"/>
      <c r="QK4" s="131"/>
      <c r="QL4" s="131"/>
      <c r="QM4" s="131"/>
      <c r="QN4" s="131"/>
      <c r="QO4" s="131"/>
      <c r="QP4" s="131"/>
      <c r="QQ4" s="131"/>
      <c r="QR4" s="131"/>
      <c r="QS4" s="131"/>
      <c r="QT4" s="131"/>
      <c r="QU4" s="131"/>
      <c r="QV4" s="131"/>
      <c r="QW4" s="131"/>
      <c r="QX4" s="131"/>
      <c r="QY4" s="131"/>
      <c r="QZ4" s="131"/>
      <c r="RA4" s="131"/>
      <c r="RB4" s="131"/>
      <c r="RC4" s="131"/>
      <c r="RD4" s="131"/>
      <c r="RE4" s="131"/>
      <c r="RF4" s="131"/>
      <c r="RG4" s="131"/>
      <c r="RH4" s="131"/>
      <c r="RI4" s="131"/>
      <c r="RJ4" s="131"/>
      <c r="RK4" s="131"/>
      <c r="RL4" s="131"/>
      <c r="RM4" s="131"/>
      <c r="RN4" s="131"/>
      <c r="RO4" s="131"/>
      <c r="RP4" s="131"/>
      <c r="RQ4" s="131"/>
      <c r="RR4" s="131"/>
      <c r="RS4" s="131"/>
      <c r="RT4" s="131"/>
      <c r="RU4" s="131"/>
      <c r="RV4" s="131"/>
      <c r="RW4" s="131"/>
      <c r="RX4" s="131"/>
      <c r="RY4" s="131"/>
      <c r="RZ4" s="131"/>
      <c r="SA4" s="131"/>
      <c r="SB4" s="131"/>
      <c r="SC4" s="131"/>
      <c r="SD4" s="131"/>
      <c r="SE4" s="131"/>
      <c r="SF4" s="131"/>
      <c r="SG4" s="131"/>
      <c r="SH4" s="131"/>
      <c r="SI4" s="131"/>
      <c r="SJ4" s="131"/>
      <c r="SK4" s="131"/>
      <c r="SL4" s="131"/>
      <c r="SM4" s="131"/>
      <c r="SN4" s="131"/>
      <c r="SO4" s="131"/>
      <c r="SP4" s="131"/>
      <c r="SQ4" s="131"/>
      <c r="SR4" s="131"/>
      <c r="SS4" s="131"/>
      <c r="ST4" s="131"/>
      <c r="SU4" s="131"/>
      <c r="SV4" s="131"/>
      <c r="SW4" s="131"/>
      <c r="SX4" s="131"/>
      <c r="SY4" s="131"/>
      <c r="SZ4" s="131"/>
      <c r="TA4" s="131"/>
      <c r="TB4" s="131"/>
      <c r="TC4" s="131"/>
      <c r="TD4" s="131"/>
      <c r="TE4" s="131"/>
      <c r="TF4" s="131"/>
      <c r="TG4" s="131"/>
      <c r="TH4" s="131"/>
      <c r="TI4" s="131"/>
      <c r="TJ4" s="131"/>
      <c r="TK4" s="131"/>
      <c r="TL4" s="131"/>
      <c r="TM4" s="131"/>
      <c r="TN4" s="131"/>
      <c r="TO4" s="131"/>
      <c r="TP4" s="131"/>
      <c r="TQ4" s="131"/>
      <c r="TR4" s="131"/>
      <c r="TS4" s="131"/>
      <c r="TT4" s="131"/>
      <c r="TU4" s="131"/>
      <c r="TV4" s="131"/>
      <c r="TW4" s="131"/>
      <c r="TX4" s="131"/>
      <c r="TY4" s="131"/>
      <c r="TZ4" s="131"/>
      <c r="UA4" s="131"/>
      <c r="UB4" s="131"/>
      <c r="UC4" s="131"/>
      <c r="UD4" s="131"/>
      <c r="UE4" s="131"/>
      <c r="UF4" s="131"/>
      <c r="UG4" s="131"/>
      <c r="UH4" s="131"/>
      <c r="UI4" s="131"/>
      <c r="UJ4" s="131"/>
      <c r="UK4" s="131"/>
      <c r="UL4" s="131"/>
      <c r="UM4" s="131"/>
      <c r="UN4" s="131"/>
      <c r="UO4" s="131"/>
      <c r="UP4" s="131"/>
      <c r="UQ4" s="131"/>
      <c r="UR4" s="131"/>
      <c r="US4" s="131"/>
      <c r="UT4" s="131"/>
      <c r="UU4" s="131"/>
      <c r="UV4" s="131"/>
      <c r="UW4" s="131"/>
      <c r="UX4" s="131"/>
      <c r="UY4" s="131"/>
      <c r="UZ4" s="131"/>
      <c r="VA4" s="131"/>
      <c r="VB4" s="131"/>
      <c r="VC4" s="131"/>
      <c r="VD4" s="131"/>
      <c r="VE4" s="131"/>
      <c r="VF4" s="131"/>
      <c r="VG4" s="131"/>
      <c r="VH4" s="131"/>
      <c r="VI4" s="131"/>
      <c r="VJ4" s="131"/>
      <c r="VK4" s="131"/>
      <c r="VL4" s="131"/>
      <c r="VM4" s="131"/>
      <c r="VN4" s="131"/>
      <c r="VO4" s="131"/>
      <c r="VP4" s="131"/>
      <c r="VQ4" s="131"/>
      <c r="VR4" s="131"/>
      <c r="VS4" s="131"/>
      <c r="VT4" s="131"/>
      <c r="VU4" s="131"/>
      <c r="VV4" s="131"/>
      <c r="VW4" s="131"/>
      <c r="VX4" s="131"/>
      <c r="VY4" s="131"/>
      <c r="VZ4" s="131"/>
      <c r="WA4" s="131"/>
      <c r="WB4" s="131"/>
      <c r="WC4" s="131"/>
      <c r="WD4" s="131"/>
      <c r="WE4" s="131"/>
      <c r="WF4" s="131"/>
      <c r="WG4" s="131"/>
    </row>
    <row r="5" spans="1:605" s="122" customFormat="1" ht="15.75" customHeight="1" x14ac:dyDescent="0.15">
      <c r="A5" s="229" t="s">
        <v>424</v>
      </c>
      <c r="B5" s="135" t="s">
        <v>284</v>
      </c>
      <c r="C5" s="136" t="s">
        <v>410</v>
      </c>
      <c r="D5" s="137">
        <v>3</v>
      </c>
      <c r="E5" s="137">
        <v>4</v>
      </c>
      <c r="F5" s="137">
        <v>4</v>
      </c>
      <c r="G5" s="137">
        <v>4</v>
      </c>
      <c r="H5" s="137">
        <v>4</v>
      </c>
      <c r="I5" s="137">
        <v>4</v>
      </c>
      <c r="J5" s="137">
        <v>4</v>
      </c>
      <c r="K5" s="137">
        <v>3</v>
      </c>
      <c r="L5" s="137">
        <v>2</v>
      </c>
      <c r="M5" s="137">
        <v>2</v>
      </c>
      <c r="N5" s="137">
        <v>3</v>
      </c>
      <c r="O5" s="137">
        <v>2</v>
      </c>
      <c r="P5" s="137">
        <v>3</v>
      </c>
      <c r="Q5" s="137">
        <v>4</v>
      </c>
      <c r="R5" s="137">
        <v>0</v>
      </c>
      <c r="S5" s="137">
        <v>4</v>
      </c>
      <c r="T5" s="137">
        <v>2</v>
      </c>
      <c r="U5" s="137">
        <v>3</v>
      </c>
      <c r="V5" s="137">
        <v>3</v>
      </c>
      <c r="W5" s="137">
        <v>3</v>
      </c>
      <c r="X5" s="137">
        <v>4</v>
      </c>
      <c r="Y5" s="137">
        <v>4</v>
      </c>
      <c r="Z5" s="137">
        <v>3</v>
      </c>
      <c r="AA5" s="137">
        <v>3</v>
      </c>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37"/>
      <c r="CV5" s="137"/>
      <c r="CW5" s="137"/>
      <c r="CX5" s="137"/>
      <c r="CY5" s="137"/>
      <c r="CZ5" s="137"/>
      <c r="DA5" s="137"/>
      <c r="DB5" s="137"/>
      <c r="DC5" s="137"/>
      <c r="DD5" s="137"/>
      <c r="DE5" s="137"/>
      <c r="DF5" s="137"/>
      <c r="DG5" s="137"/>
      <c r="DH5" s="137"/>
      <c r="DI5" s="137"/>
      <c r="DJ5" s="137"/>
      <c r="DK5" s="137"/>
      <c r="DL5" s="137"/>
      <c r="DM5" s="137"/>
      <c r="DN5" s="137"/>
      <c r="DO5" s="137"/>
      <c r="DP5" s="137"/>
      <c r="DQ5" s="137"/>
      <c r="DR5" s="137"/>
      <c r="DS5" s="137"/>
      <c r="DT5" s="137"/>
      <c r="DU5" s="137"/>
      <c r="DV5" s="137"/>
      <c r="DW5" s="137"/>
      <c r="DX5" s="137"/>
      <c r="DY5" s="137"/>
      <c r="DZ5" s="137"/>
      <c r="EA5" s="137"/>
      <c r="EB5" s="137"/>
      <c r="EC5" s="137"/>
      <c r="ED5" s="137"/>
      <c r="EE5" s="137"/>
      <c r="EF5" s="137"/>
      <c r="EG5" s="137"/>
      <c r="EH5" s="137"/>
      <c r="EI5" s="137"/>
      <c r="EJ5" s="137"/>
      <c r="EK5" s="137"/>
      <c r="EL5" s="137"/>
      <c r="EM5" s="137"/>
      <c r="EN5" s="137"/>
      <c r="EO5" s="137"/>
      <c r="EP5" s="137"/>
      <c r="EQ5" s="137"/>
      <c r="ER5" s="137"/>
      <c r="ES5" s="137"/>
      <c r="ET5" s="137"/>
      <c r="EU5" s="137"/>
      <c r="EV5" s="137"/>
      <c r="EW5" s="137"/>
      <c r="EX5" s="137"/>
      <c r="EY5" s="137"/>
      <c r="EZ5" s="137"/>
      <c r="FA5" s="137"/>
      <c r="FB5" s="137"/>
      <c r="FC5" s="137"/>
      <c r="FD5" s="137"/>
      <c r="FE5" s="137"/>
      <c r="FF5" s="137"/>
      <c r="FG5" s="137"/>
      <c r="FH5" s="137"/>
      <c r="FI5" s="137"/>
      <c r="FJ5" s="137"/>
      <c r="FK5" s="137"/>
      <c r="FL5" s="137"/>
      <c r="FM5" s="137"/>
      <c r="FN5" s="137"/>
      <c r="FO5" s="137"/>
      <c r="FP5" s="137"/>
      <c r="FQ5" s="137"/>
      <c r="FR5" s="137"/>
      <c r="FS5" s="137"/>
      <c r="FT5" s="137"/>
      <c r="FU5" s="137"/>
      <c r="FV5" s="137"/>
      <c r="FW5" s="137"/>
      <c r="FX5" s="137"/>
      <c r="FY5" s="137"/>
      <c r="FZ5" s="137"/>
      <c r="GA5" s="137"/>
      <c r="GB5" s="137"/>
      <c r="GC5" s="137"/>
      <c r="GD5" s="137"/>
      <c r="GE5" s="137"/>
      <c r="GF5" s="137"/>
      <c r="GG5" s="137"/>
      <c r="GH5" s="137"/>
      <c r="GI5" s="137"/>
      <c r="GJ5" s="137"/>
      <c r="GK5" s="137"/>
      <c r="GL5" s="137"/>
      <c r="GM5" s="137"/>
      <c r="GN5" s="137"/>
      <c r="GO5" s="137"/>
      <c r="GP5" s="137"/>
      <c r="GQ5" s="137"/>
      <c r="GR5" s="137"/>
      <c r="GS5" s="137"/>
      <c r="GT5" s="137"/>
      <c r="GU5" s="137"/>
      <c r="GV5" s="137"/>
      <c r="GW5" s="137"/>
      <c r="GX5" s="137"/>
      <c r="GY5" s="137"/>
      <c r="GZ5" s="137"/>
      <c r="HA5" s="137"/>
      <c r="HB5" s="137"/>
      <c r="HC5" s="137"/>
      <c r="HD5" s="137"/>
      <c r="HE5" s="137"/>
      <c r="HF5" s="137"/>
      <c r="HG5" s="137"/>
      <c r="HH5" s="137"/>
      <c r="HI5" s="137"/>
      <c r="HJ5" s="137"/>
      <c r="HK5" s="137"/>
      <c r="HL5" s="137"/>
      <c r="HM5" s="137"/>
      <c r="HN5" s="137"/>
      <c r="HO5" s="137"/>
      <c r="HP5" s="137"/>
      <c r="HQ5" s="137"/>
      <c r="HR5" s="137"/>
      <c r="HS5" s="137"/>
      <c r="HT5" s="137"/>
      <c r="HU5" s="137"/>
      <c r="HV5" s="137"/>
      <c r="HW5" s="137"/>
      <c r="HX5" s="137"/>
      <c r="HY5" s="137"/>
      <c r="HZ5" s="137"/>
      <c r="IA5" s="137"/>
      <c r="IB5" s="137"/>
      <c r="IC5" s="137"/>
      <c r="ID5" s="137"/>
      <c r="IE5" s="137"/>
      <c r="IF5" s="137"/>
      <c r="IG5" s="137"/>
      <c r="IH5" s="137"/>
      <c r="II5" s="137"/>
      <c r="IJ5" s="137"/>
      <c r="IK5" s="137"/>
      <c r="IL5" s="137"/>
      <c r="IM5" s="137"/>
      <c r="IN5" s="137"/>
      <c r="IO5" s="137"/>
      <c r="IP5" s="137"/>
      <c r="IQ5" s="137"/>
      <c r="IR5" s="137"/>
      <c r="IS5" s="137"/>
      <c r="IT5" s="137"/>
      <c r="IU5" s="137"/>
      <c r="IV5" s="137"/>
      <c r="IW5" s="137"/>
      <c r="IX5" s="137"/>
      <c r="IY5" s="137"/>
      <c r="IZ5" s="137"/>
      <c r="JA5" s="137"/>
      <c r="JB5" s="137"/>
      <c r="JC5" s="137"/>
      <c r="JD5" s="137"/>
      <c r="JE5" s="137"/>
      <c r="JF5" s="137"/>
      <c r="JG5" s="137"/>
      <c r="JH5" s="137"/>
      <c r="JI5" s="137"/>
      <c r="JJ5" s="137"/>
      <c r="JK5" s="137"/>
      <c r="JL5" s="137"/>
      <c r="JM5" s="137"/>
      <c r="JN5" s="137"/>
      <c r="JO5" s="137"/>
      <c r="JP5" s="137"/>
      <c r="JQ5" s="137"/>
      <c r="JR5" s="137"/>
      <c r="JS5" s="137"/>
      <c r="JT5" s="137"/>
      <c r="JU5" s="137"/>
      <c r="JV5" s="137"/>
      <c r="JW5" s="137"/>
      <c r="JX5" s="137"/>
      <c r="JY5" s="137"/>
      <c r="JZ5" s="137"/>
      <c r="KA5" s="137"/>
      <c r="KB5" s="137"/>
      <c r="KC5" s="137"/>
      <c r="KD5" s="137"/>
      <c r="KE5" s="137"/>
      <c r="KF5" s="137"/>
      <c r="KG5" s="137"/>
      <c r="KH5" s="137"/>
      <c r="KI5" s="137"/>
      <c r="KJ5" s="137"/>
      <c r="KK5" s="137"/>
      <c r="KL5" s="137"/>
      <c r="KM5" s="137"/>
      <c r="KN5" s="137"/>
      <c r="KO5" s="137"/>
      <c r="KP5" s="137"/>
      <c r="KQ5" s="137"/>
      <c r="KR5" s="137"/>
      <c r="KS5" s="137"/>
      <c r="KT5" s="137"/>
      <c r="KU5" s="137"/>
      <c r="KV5" s="137"/>
      <c r="KW5" s="137"/>
      <c r="KX5" s="137"/>
      <c r="KY5" s="137"/>
      <c r="KZ5" s="137"/>
      <c r="LA5" s="137"/>
      <c r="LB5" s="137"/>
      <c r="LC5" s="137"/>
      <c r="LD5" s="137"/>
      <c r="LE5" s="137"/>
      <c r="LF5" s="137"/>
      <c r="LG5" s="137"/>
      <c r="LH5" s="137"/>
      <c r="LI5" s="137"/>
      <c r="LJ5" s="137"/>
      <c r="LK5" s="137"/>
      <c r="LL5" s="137"/>
      <c r="LM5" s="137"/>
      <c r="LN5" s="137"/>
      <c r="LO5" s="137"/>
      <c r="LP5" s="137"/>
      <c r="LQ5" s="137"/>
      <c r="LR5" s="137"/>
      <c r="LS5" s="137"/>
      <c r="LT5" s="137"/>
      <c r="LU5" s="137"/>
      <c r="LV5" s="137"/>
      <c r="LW5" s="137"/>
      <c r="LX5" s="137"/>
      <c r="LY5" s="137"/>
      <c r="LZ5" s="137"/>
      <c r="MA5" s="137"/>
      <c r="MB5" s="137"/>
      <c r="MC5" s="137"/>
      <c r="MD5" s="137"/>
      <c r="ME5" s="137"/>
      <c r="MF5" s="137"/>
      <c r="MG5" s="137"/>
      <c r="MH5" s="137"/>
      <c r="MI5" s="137"/>
      <c r="MJ5" s="137"/>
      <c r="MK5" s="137"/>
      <c r="ML5" s="137"/>
      <c r="MM5" s="137"/>
      <c r="MN5" s="137"/>
      <c r="MO5" s="137"/>
      <c r="MP5" s="137"/>
      <c r="MQ5" s="137"/>
      <c r="MR5" s="137"/>
      <c r="MS5" s="137"/>
      <c r="MT5" s="137"/>
      <c r="MU5" s="137"/>
      <c r="MV5" s="137"/>
      <c r="MW5" s="137"/>
      <c r="MX5" s="137"/>
      <c r="MY5" s="137"/>
      <c r="MZ5" s="137"/>
      <c r="NA5" s="137"/>
      <c r="NB5" s="137"/>
      <c r="NC5" s="137"/>
      <c r="ND5" s="137"/>
      <c r="NE5" s="137"/>
      <c r="NF5" s="137"/>
      <c r="NG5" s="137"/>
      <c r="NH5" s="137"/>
      <c r="NI5" s="137"/>
      <c r="NJ5" s="137"/>
      <c r="NK5" s="137"/>
      <c r="NL5" s="137"/>
      <c r="NM5" s="137"/>
      <c r="NN5" s="137"/>
      <c r="NO5" s="137"/>
      <c r="NP5" s="137"/>
      <c r="NQ5" s="137"/>
      <c r="NR5" s="137"/>
      <c r="NS5" s="137"/>
      <c r="NT5" s="137"/>
      <c r="NU5" s="137"/>
      <c r="NV5" s="137"/>
      <c r="NW5" s="137"/>
      <c r="NX5" s="137"/>
      <c r="NY5" s="137"/>
      <c r="NZ5" s="137"/>
      <c r="OA5" s="137"/>
      <c r="OB5" s="137"/>
      <c r="OC5" s="137"/>
      <c r="OD5" s="137"/>
      <c r="OE5" s="137"/>
      <c r="OF5" s="137"/>
      <c r="OG5" s="137"/>
      <c r="OH5" s="137"/>
      <c r="OI5" s="137"/>
      <c r="OJ5" s="137"/>
      <c r="OK5" s="137"/>
      <c r="OL5" s="137"/>
      <c r="OM5" s="137"/>
      <c r="ON5" s="137"/>
      <c r="OO5" s="137"/>
      <c r="OP5" s="137"/>
      <c r="OQ5" s="137"/>
      <c r="OR5" s="137"/>
      <c r="OS5" s="137"/>
      <c r="OT5" s="137"/>
      <c r="OU5" s="137"/>
      <c r="OV5" s="137"/>
      <c r="OW5" s="137"/>
      <c r="OX5" s="137"/>
      <c r="OY5" s="137"/>
      <c r="OZ5" s="137"/>
      <c r="PA5" s="137"/>
      <c r="PB5" s="137"/>
      <c r="PC5" s="137"/>
      <c r="PD5" s="137"/>
      <c r="PE5" s="137"/>
      <c r="PF5" s="137"/>
      <c r="PG5" s="137"/>
      <c r="PH5" s="137"/>
      <c r="PI5" s="137"/>
      <c r="PJ5" s="137"/>
      <c r="PK5" s="137"/>
      <c r="PL5" s="137"/>
      <c r="PM5" s="137"/>
      <c r="PN5" s="137"/>
      <c r="PO5" s="137"/>
      <c r="PP5" s="137"/>
      <c r="PQ5" s="137"/>
      <c r="PR5" s="137"/>
      <c r="PS5" s="137"/>
      <c r="PT5" s="137"/>
      <c r="PU5" s="137"/>
      <c r="PV5" s="137"/>
      <c r="PW5" s="137"/>
      <c r="PX5" s="137"/>
      <c r="PY5" s="137"/>
      <c r="PZ5" s="137"/>
      <c r="QA5" s="137"/>
      <c r="QB5" s="137"/>
      <c r="QC5" s="137"/>
      <c r="QD5" s="137"/>
      <c r="QE5" s="137"/>
      <c r="QF5" s="137"/>
      <c r="QG5" s="137"/>
      <c r="QH5" s="137"/>
      <c r="QI5" s="137"/>
      <c r="QJ5" s="137"/>
      <c r="QK5" s="137"/>
      <c r="QL5" s="137"/>
      <c r="QM5" s="137"/>
      <c r="QN5" s="137"/>
      <c r="QO5" s="137"/>
      <c r="QP5" s="137"/>
      <c r="QQ5" s="137"/>
      <c r="QR5" s="137"/>
      <c r="QS5" s="137"/>
      <c r="QT5" s="137"/>
      <c r="QU5" s="137"/>
      <c r="QV5" s="137"/>
      <c r="QW5" s="137"/>
      <c r="QX5" s="137"/>
      <c r="QY5" s="137"/>
      <c r="QZ5" s="137"/>
      <c r="RA5" s="137"/>
      <c r="RB5" s="137"/>
      <c r="RC5" s="137"/>
      <c r="RD5" s="137"/>
      <c r="RE5" s="137"/>
      <c r="RF5" s="137"/>
      <c r="RG5" s="137"/>
      <c r="RH5" s="137"/>
      <c r="RI5" s="137"/>
      <c r="RJ5" s="137"/>
      <c r="RK5" s="137"/>
      <c r="RL5" s="137"/>
      <c r="RM5" s="137"/>
      <c r="RN5" s="137"/>
      <c r="RO5" s="137"/>
      <c r="RP5" s="137"/>
      <c r="RQ5" s="137"/>
      <c r="RR5" s="137"/>
      <c r="RS5" s="137"/>
      <c r="RT5" s="137"/>
      <c r="RU5" s="137"/>
      <c r="RV5" s="137"/>
      <c r="RW5" s="137"/>
      <c r="RX5" s="137"/>
      <c r="RY5" s="137"/>
      <c r="RZ5" s="137"/>
      <c r="SA5" s="137"/>
      <c r="SB5" s="137"/>
      <c r="SC5" s="137"/>
      <c r="SD5" s="137"/>
      <c r="SE5" s="137"/>
      <c r="SF5" s="137"/>
      <c r="SG5" s="137"/>
      <c r="SH5" s="137"/>
      <c r="SI5" s="137"/>
      <c r="SJ5" s="137"/>
      <c r="SK5" s="137"/>
      <c r="SL5" s="137"/>
      <c r="SM5" s="137"/>
      <c r="SN5" s="137"/>
      <c r="SO5" s="137"/>
      <c r="SP5" s="137"/>
      <c r="SQ5" s="137"/>
      <c r="SR5" s="137"/>
      <c r="SS5" s="137"/>
      <c r="ST5" s="137"/>
      <c r="SU5" s="137"/>
      <c r="SV5" s="137"/>
      <c r="SW5" s="137"/>
      <c r="SX5" s="137"/>
      <c r="SY5" s="137"/>
      <c r="SZ5" s="137"/>
      <c r="TA5" s="137"/>
      <c r="TB5" s="137"/>
      <c r="TC5" s="137"/>
      <c r="TD5" s="137"/>
      <c r="TE5" s="137"/>
      <c r="TF5" s="137"/>
      <c r="TG5" s="137"/>
      <c r="TH5" s="137"/>
      <c r="TI5" s="137"/>
      <c r="TJ5" s="137"/>
      <c r="TK5" s="137"/>
      <c r="TL5" s="137"/>
      <c r="TM5" s="137"/>
      <c r="TN5" s="137"/>
      <c r="TO5" s="137"/>
      <c r="TP5" s="137"/>
      <c r="TQ5" s="137"/>
      <c r="TR5" s="137"/>
      <c r="TS5" s="137"/>
      <c r="TT5" s="137"/>
      <c r="TU5" s="137"/>
      <c r="TV5" s="137"/>
      <c r="TW5" s="137"/>
      <c r="TX5" s="137"/>
      <c r="TY5" s="137"/>
      <c r="TZ5" s="137"/>
      <c r="UA5" s="137"/>
      <c r="UB5" s="137"/>
      <c r="UC5" s="137"/>
      <c r="UD5" s="137"/>
      <c r="UE5" s="137"/>
      <c r="UF5" s="137"/>
      <c r="UG5" s="137"/>
      <c r="UH5" s="137"/>
      <c r="UI5" s="137"/>
      <c r="UJ5" s="137"/>
      <c r="UK5" s="137"/>
      <c r="UL5" s="137"/>
      <c r="UM5" s="137"/>
      <c r="UN5" s="137"/>
      <c r="UO5" s="137"/>
      <c r="UP5" s="137"/>
      <c r="UQ5" s="137"/>
      <c r="UR5" s="137"/>
      <c r="US5" s="137"/>
      <c r="UT5" s="137"/>
      <c r="UU5" s="137"/>
      <c r="UV5" s="137"/>
      <c r="UW5" s="137"/>
      <c r="UX5" s="137"/>
      <c r="UY5" s="137"/>
      <c r="UZ5" s="137"/>
      <c r="VA5" s="137"/>
      <c r="VB5" s="137"/>
      <c r="VC5" s="137"/>
      <c r="VD5" s="137"/>
      <c r="VE5" s="137"/>
      <c r="VF5" s="137"/>
      <c r="VG5" s="137"/>
      <c r="VH5" s="137"/>
      <c r="VI5" s="137"/>
      <c r="VJ5" s="137"/>
      <c r="VK5" s="137"/>
      <c r="VL5" s="137"/>
      <c r="VM5" s="137"/>
      <c r="VN5" s="137"/>
      <c r="VO5" s="137"/>
      <c r="VP5" s="137"/>
      <c r="VQ5" s="137"/>
      <c r="VR5" s="137"/>
      <c r="VS5" s="137"/>
      <c r="VT5" s="137"/>
      <c r="VU5" s="137"/>
      <c r="VV5" s="137"/>
      <c r="VW5" s="137"/>
      <c r="VX5" s="137"/>
      <c r="VY5" s="137"/>
      <c r="VZ5" s="137"/>
      <c r="WA5" s="137"/>
      <c r="WB5" s="137"/>
      <c r="WC5" s="137"/>
      <c r="WD5" s="137"/>
      <c r="WE5" s="137"/>
      <c r="WF5" s="137"/>
      <c r="WG5" s="137"/>
    </row>
    <row r="6" spans="1:605" s="122" customFormat="1" ht="16.5" customHeight="1" x14ac:dyDescent="0.15">
      <c r="A6" s="229"/>
      <c r="B6" s="138" t="s">
        <v>316</v>
      </c>
      <c r="C6" s="139" t="s">
        <v>410</v>
      </c>
      <c r="D6" s="140">
        <v>2</v>
      </c>
      <c r="E6" s="140">
        <v>2</v>
      </c>
      <c r="F6" s="140">
        <v>4</v>
      </c>
      <c r="G6" s="140">
        <v>2</v>
      </c>
      <c r="H6" s="140">
        <v>2</v>
      </c>
      <c r="I6" s="140">
        <v>2</v>
      </c>
      <c r="J6" s="140">
        <v>2</v>
      </c>
      <c r="K6" s="140">
        <v>3</v>
      </c>
      <c r="L6" s="140">
        <v>3</v>
      </c>
      <c r="M6" s="140">
        <v>3</v>
      </c>
      <c r="N6" s="140">
        <v>3</v>
      </c>
      <c r="O6" s="140">
        <v>3</v>
      </c>
      <c r="P6" s="140">
        <v>2</v>
      </c>
      <c r="Q6" s="140">
        <v>2</v>
      </c>
      <c r="R6" s="140">
        <v>0</v>
      </c>
      <c r="S6" s="140">
        <v>3</v>
      </c>
      <c r="T6" s="140">
        <v>2</v>
      </c>
      <c r="U6" s="140">
        <v>2</v>
      </c>
      <c r="V6" s="140">
        <v>2</v>
      </c>
      <c r="W6" s="140">
        <v>3</v>
      </c>
      <c r="X6" s="140">
        <v>2</v>
      </c>
      <c r="Y6" s="140">
        <v>3</v>
      </c>
      <c r="Z6" s="140">
        <v>3</v>
      </c>
      <c r="AA6" s="140">
        <v>2</v>
      </c>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0"/>
      <c r="BK6" s="140"/>
      <c r="BL6" s="140"/>
      <c r="BM6" s="140"/>
      <c r="BN6" s="140"/>
      <c r="BO6" s="140"/>
      <c r="BP6" s="140"/>
      <c r="BQ6" s="140"/>
      <c r="BR6" s="140"/>
      <c r="BS6" s="140"/>
      <c r="BT6" s="140"/>
      <c r="BU6" s="140"/>
      <c r="BV6" s="140"/>
      <c r="BW6" s="140"/>
      <c r="BX6" s="140"/>
      <c r="BY6" s="140"/>
      <c r="BZ6" s="140"/>
      <c r="CA6" s="140"/>
      <c r="CB6" s="140"/>
      <c r="CC6" s="140"/>
      <c r="CD6" s="140"/>
      <c r="CE6" s="140"/>
      <c r="CF6" s="140"/>
      <c r="CG6" s="140"/>
      <c r="CH6" s="140"/>
      <c r="CI6" s="140"/>
      <c r="CJ6" s="140"/>
      <c r="CK6" s="140"/>
      <c r="CL6" s="140"/>
      <c r="CM6" s="140"/>
      <c r="CN6" s="140"/>
      <c r="CO6" s="140"/>
      <c r="CP6" s="140"/>
      <c r="CQ6" s="140"/>
      <c r="CR6" s="140"/>
      <c r="CS6" s="140"/>
      <c r="CT6" s="140"/>
      <c r="CU6" s="140"/>
      <c r="CV6" s="140"/>
      <c r="CW6" s="140"/>
      <c r="CX6" s="140"/>
      <c r="CY6" s="140"/>
      <c r="CZ6" s="140"/>
      <c r="DA6" s="140"/>
      <c r="DB6" s="140"/>
      <c r="DC6" s="140"/>
      <c r="DD6" s="140"/>
      <c r="DE6" s="140"/>
      <c r="DF6" s="140"/>
      <c r="DG6" s="140"/>
      <c r="DH6" s="140"/>
      <c r="DI6" s="140"/>
      <c r="DJ6" s="140"/>
      <c r="DK6" s="140"/>
      <c r="DL6" s="140"/>
      <c r="DM6" s="140"/>
      <c r="DN6" s="140"/>
      <c r="DO6" s="140"/>
      <c r="DP6" s="140"/>
      <c r="DQ6" s="140"/>
      <c r="DR6" s="140"/>
      <c r="DS6" s="140"/>
      <c r="DT6" s="140"/>
      <c r="DU6" s="140"/>
      <c r="DV6" s="140"/>
      <c r="DW6" s="140"/>
      <c r="DX6" s="140"/>
      <c r="DY6" s="140"/>
      <c r="DZ6" s="140"/>
      <c r="EA6" s="140"/>
      <c r="EB6" s="140"/>
      <c r="EC6" s="140"/>
      <c r="ED6" s="140"/>
      <c r="EE6" s="140"/>
      <c r="EF6" s="140"/>
      <c r="EG6" s="140"/>
      <c r="EH6" s="140"/>
      <c r="EI6" s="140"/>
      <c r="EJ6" s="140"/>
      <c r="EK6" s="140"/>
      <c r="EL6" s="140"/>
      <c r="EM6" s="140"/>
      <c r="EN6" s="140"/>
      <c r="EO6" s="140"/>
      <c r="EP6" s="140"/>
      <c r="EQ6" s="140"/>
      <c r="ER6" s="140"/>
      <c r="ES6" s="140"/>
      <c r="ET6" s="140"/>
      <c r="EU6" s="140"/>
      <c r="EV6" s="140"/>
      <c r="EW6" s="140"/>
      <c r="EX6" s="140"/>
      <c r="EY6" s="140"/>
      <c r="EZ6" s="140"/>
      <c r="FA6" s="140"/>
      <c r="FB6" s="140"/>
      <c r="FC6" s="140"/>
      <c r="FD6" s="140"/>
      <c r="FE6" s="140"/>
      <c r="FF6" s="140"/>
      <c r="FG6" s="140"/>
      <c r="FH6" s="140"/>
      <c r="FI6" s="140"/>
      <c r="FJ6" s="140"/>
      <c r="FK6" s="140"/>
      <c r="FL6" s="140"/>
      <c r="FM6" s="140"/>
      <c r="FN6" s="140"/>
      <c r="FO6" s="140"/>
      <c r="FP6" s="140"/>
      <c r="FQ6" s="140"/>
      <c r="FR6" s="140"/>
      <c r="FS6" s="140"/>
      <c r="FT6" s="140"/>
      <c r="FU6" s="140"/>
      <c r="FV6" s="140"/>
      <c r="FW6" s="140"/>
      <c r="FX6" s="140"/>
      <c r="FY6" s="140"/>
      <c r="FZ6" s="140"/>
      <c r="GA6" s="140"/>
      <c r="GB6" s="140"/>
      <c r="GC6" s="140"/>
      <c r="GD6" s="140"/>
      <c r="GE6" s="140"/>
      <c r="GF6" s="140"/>
      <c r="GG6" s="140"/>
      <c r="GH6" s="140"/>
      <c r="GI6" s="140"/>
      <c r="GJ6" s="140"/>
      <c r="GK6" s="140"/>
      <c r="GL6" s="140"/>
      <c r="GM6" s="140"/>
      <c r="GN6" s="140"/>
      <c r="GO6" s="140"/>
      <c r="GP6" s="140"/>
      <c r="GQ6" s="140"/>
      <c r="GR6" s="140"/>
      <c r="GS6" s="140"/>
      <c r="GT6" s="140"/>
      <c r="GU6" s="140"/>
      <c r="GV6" s="140"/>
      <c r="GW6" s="140"/>
      <c r="GX6" s="140"/>
      <c r="GY6" s="140"/>
      <c r="GZ6" s="140"/>
      <c r="HA6" s="140"/>
      <c r="HB6" s="140"/>
      <c r="HC6" s="140"/>
      <c r="HD6" s="140"/>
      <c r="HE6" s="140"/>
      <c r="HF6" s="140"/>
      <c r="HG6" s="140"/>
      <c r="HH6" s="140"/>
      <c r="HI6" s="140"/>
      <c r="HJ6" s="140"/>
      <c r="HK6" s="140"/>
      <c r="HL6" s="140"/>
      <c r="HM6" s="140"/>
      <c r="HN6" s="140"/>
      <c r="HO6" s="140"/>
      <c r="HP6" s="140"/>
      <c r="HQ6" s="140"/>
      <c r="HR6" s="140"/>
      <c r="HS6" s="140"/>
      <c r="HT6" s="140"/>
      <c r="HU6" s="140"/>
      <c r="HV6" s="140"/>
      <c r="HW6" s="140"/>
      <c r="HX6" s="140"/>
      <c r="HY6" s="140"/>
      <c r="HZ6" s="140"/>
      <c r="IA6" s="140"/>
      <c r="IB6" s="140"/>
      <c r="IC6" s="140"/>
      <c r="ID6" s="140"/>
      <c r="IE6" s="140"/>
      <c r="IF6" s="140"/>
      <c r="IG6" s="140"/>
      <c r="IH6" s="140"/>
      <c r="II6" s="140"/>
      <c r="IJ6" s="140"/>
      <c r="IK6" s="140"/>
      <c r="IL6" s="140"/>
      <c r="IM6" s="140"/>
      <c r="IN6" s="140"/>
      <c r="IO6" s="140"/>
      <c r="IP6" s="140"/>
      <c r="IQ6" s="140"/>
      <c r="IR6" s="140"/>
      <c r="IS6" s="140"/>
      <c r="IT6" s="140"/>
      <c r="IU6" s="140"/>
      <c r="IV6" s="140"/>
      <c r="IW6" s="140"/>
      <c r="IX6" s="140"/>
      <c r="IY6" s="140"/>
      <c r="IZ6" s="140"/>
      <c r="JA6" s="140"/>
      <c r="JB6" s="140"/>
      <c r="JC6" s="140"/>
      <c r="JD6" s="140"/>
      <c r="JE6" s="140"/>
      <c r="JF6" s="140"/>
      <c r="JG6" s="140"/>
      <c r="JH6" s="140"/>
      <c r="JI6" s="140"/>
      <c r="JJ6" s="140"/>
      <c r="JK6" s="140"/>
      <c r="JL6" s="140"/>
      <c r="JM6" s="140"/>
      <c r="JN6" s="140"/>
      <c r="JO6" s="140"/>
      <c r="JP6" s="140"/>
      <c r="JQ6" s="140"/>
      <c r="JR6" s="140"/>
      <c r="JS6" s="140"/>
      <c r="JT6" s="140"/>
      <c r="JU6" s="140"/>
      <c r="JV6" s="140"/>
      <c r="JW6" s="140"/>
      <c r="JX6" s="140"/>
      <c r="JY6" s="140"/>
      <c r="JZ6" s="140"/>
      <c r="KA6" s="140"/>
      <c r="KB6" s="140"/>
      <c r="KC6" s="140"/>
      <c r="KD6" s="140"/>
      <c r="KE6" s="140"/>
      <c r="KF6" s="140"/>
      <c r="KG6" s="140"/>
      <c r="KH6" s="140"/>
      <c r="KI6" s="140"/>
      <c r="KJ6" s="140"/>
      <c r="KK6" s="140"/>
      <c r="KL6" s="140"/>
      <c r="KM6" s="140"/>
      <c r="KN6" s="140"/>
      <c r="KO6" s="140"/>
      <c r="KP6" s="140"/>
      <c r="KQ6" s="140"/>
      <c r="KR6" s="140"/>
      <c r="KS6" s="140"/>
      <c r="KT6" s="140"/>
      <c r="KU6" s="140"/>
      <c r="KV6" s="140"/>
      <c r="KW6" s="140"/>
      <c r="KX6" s="140"/>
      <c r="KY6" s="140"/>
      <c r="KZ6" s="140"/>
      <c r="LA6" s="140"/>
      <c r="LB6" s="140"/>
      <c r="LC6" s="140"/>
      <c r="LD6" s="140"/>
      <c r="LE6" s="140"/>
      <c r="LF6" s="140"/>
      <c r="LG6" s="140"/>
      <c r="LH6" s="140"/>
      <c r="LI6" s="140"/>
      <c r="LJ6" s="140"/>
      <c r="LK6" s="140"/>
      <c r="LL6" s="140"/>
      <c r="LM6" s="140"/>
      <c r="LN6" s="140"/>
      <c r="LO6" s="140"/>
      <c r="LP6" s="140"/>
      <c r="LQ6" s="140"/>
      <c r="LR6" s="140"/>
      <c r="LS6" s="140"/>
      <c r="LT6" s="140"/>
      <c r="LU6" s="140"/>
      <c r="LV6" s="140"/>
      <c r="LW6" s="140"/>
      <c r="LX6" s="140"/>
      <c r="LY6" s="140"/>
      <c r="LZ6" s="140"/>
      <c r="MA6" s="140"/>
      <c r="MB6" s="140"/>
      <c r="MC6" s="140"/>
      <c r="MD6" s="140"/>
      <c r="ME6" s="140"/>
      <c r="MF6" s="140"/>
      <c r="MG6" s="140"/>
      <c r="MH6" s="140"/>
      <c r="MI6" s="140"/>
      <c r="MJ6" s="140"/>
      <c r="MK6" s="140"/>
      <c r="ML6" s="140"/>
      <c r="MM6" s="140"/>
      <c r="MN6" s="140"/>
      <c r="MO6" s="140"/>
      <c r="MP6" s="140"/>
      <c r="MQ6" s="140"/>
      <c r="MR6" s="140"/>
      <c r="MS6" s="140"/>
      <c r="MT6" s="140"/>
      <c r="MU6" s="140"/>
      <c r="MV6" s="140"/>
      <c r="MW6" s="140"/>
      <c r="MX6" s="140"/>
      <c r="MY6" s="140"/>
      <c r="MZ6" s="140"/>
      <c r="NA6" s="140"/>
      <c r="NB6" s="140"/>
      <c r="NC6" s="140"/>
      <c r="ND6" s="140"/>
      <c r="NE6" s="140"/>
      <c r="NF6" s="140"/>
      <c r="NG6" s="140"/>
      <c r="NH6" s="140"/>
      <c r="NI6" s="140"/>
      <c r="NJ6" s="140"/>
      <c r="NK6" s="140"/>
      <c r="NL6" s="140"/>
      <c r="NM6" s="140"/>
      <c r="NN6" s="140"/>
      <c r="NO6" s="140"/>
      <c r="NP6" s="140"/>
      <c r="NQ6" s="140"/>
      <c r="NR6" s="140"/>
      <c r="NS6" s="140"/>
      <c r="NT6" s="140"/>
      <c r="NU6" s="140"/>
      <c r="NV6" s="140"/>
      <c r="NW6" s="140"/>
      <c r="NX6" s="140"/>
      <c r="NY6" s="140"/>
      <c r="NZ6" s="140"/>
      <c r="OA6" s="140"/>
      <c r="OB6" s="140"/>
      <c r="OC6" s="140"/>
      <c r="OD6" s="140"/>
      <c r="OE6" s="140"/>
      <c r="OF6" s="140"/>
      <c r="OG6" s="140"/>
      <c r="OH6" s="140"/>
      <c r="OI6" s="140"/>
      <c r="OJ6" s="140"/>
      <c r="OK6" s="140"/>
      <c r="OL6" s="140"/>
      <c r="OM6" s="140"/>
      <c r="ON6" s="140"/>
      <c r="OO6" s="140"/>
      <c r="OP6" s="140"/>
      <c r="OQ6" s="140"/>
      <c r="OR6" s="140"/>
      <c r="OS6" s="140"/>
      <c r="OT6" s="140"/>
      <c r="OU6" s="140"/>
      <c r="OV6" s="140"/>
      <c r="OW6" s="140"/>
      <c r="OX6" s="140"/>
      <c r="OY6" s="140"/>
      <c r="OZ6" s="140"/>
      <c r="PA6" s="140"/>
      <c r="PB6" s="140"/>
      <c r="PC6" s="140"/>
      <c r="PD6" s="140"/>
      <c r="PE6" s="140"/>
      <c r="PF6" s="140"/>
      <c r="PG6" s="140"/>
      <c r="PH6" s="140"/>
      <c r="PI6" s="140"/>
      <c r="PJ6" s="140"/>
      <c r="PK6" s="140"/>
      <c r="PL6" s="140"/>
      <c r="PM6" s="140"/>
      <c r="PN6" s="140"/>
      <c r="PO6" s="140"/>
      <c r="PP6" s="140"/>
      <c r="PQ6" s="140"/>
      <c r="PR6" s="140"/>
      <c r="PS6" s="140"/>
      <c r="PT6" s="140"/>
      <c r="PU6" s="140"/>
      <c r="PV6" s="140"/>
      <c r="PW6" s="140"/>
      <c r="PX6" s="140"/>
      <c r="PY6" s="140"/>
      <c r="PZ6" s="140"/>
      <c r="QA6" s="140"/>
      <c r="QB6" s="140"/>
      <c r="QC6" s="140"/>
      <c r="QD6" s="140"/>
      <c r="QE6" s="140"/>
      <c r="QF6" s="140"/>
      <c r="QG6" s="140"/>
      <c r="QH6" s="140"/>
      <c r="QI6" s="140"/>
      <c r="QJ6" s="140"/>
      <c r="QK6" s="140"/>
      <c r="QL6" s="140"/>
      <c r="QM6" s="140"/>
      <c r="QN6" s="140"/>
      <c r="QO6" s="140"/>
      <c r="QP6" s="140"/>
      <c r="QQ6" s="140"/>
      <c r="QR6" s="140"/>
      <c r="QS6" s="140"/>
      <c r="QT6" s="140"/>
      <c r="QU6" s="140"/>
      <c r="QV6" s="140"/>
      <c r="QW6" s="140"/>
      <c r="QX6" s="140"/>
      <c r="QY6" s="140"/>
      <c r="QZ6" s="140"/>
      <c r="RA6" s="140"/>
      <c r="RB6" s="140"/>
      <c r="RC6" s="140"/>
      <c r="RD6" s="140"/>
      <c r="RE6" s="140"/>
      <c r="RF6" s="140"/>
      <c r="RG6" s="140"/>
      <c r="RH6" s="140"/>
      <c r="RI6" s="140"/>
      <c r="RJ6" s="140"/>
      <c r="RK6" s="140"/>
      <c r="RL6" s="140"/>
      <c r="RM6" s="140"/>
      <c r="RN6" s="140"/>
      <c r="RO6" s="140"/>
      <c r="RP6" s="140"/>
      <c r="RQ6" s="140"/>
      <c r="RR6" s="140"/>
      <c r="RS6" s="140"/>
      <c r="RT6" s="140"/>
      <c r="RU6" s="140"/>
      <c r="RV6" s="140"/>
      <c r="RW6" s="140"/>
      <c r="RX6" s="140"/>
      <c r="RY6" s="140"/>
      <c r="RZ6" s="140"/>
      <c r="SA6" s="140"/>
      <c r="SB6" s="140"/>
      <c r="SC6" s="140"/>
      <c r="SD6" s="140"/>
      <c r="SE6" s="140"/>
      <c r="SF6" s="140"/>
      <c r="SG6" s="140"/>
      <c r="SH6" s="140"/>
      <c r="SI6" s="140"/>
      <c r="SJ6" s="140"/>
      <c r="SK6" s="140"/>
      <c r="SL6" s="140"/>
      <c r="SM6" s="140"/>
      <c r="SN6" s="140"/>
      <c r="SO6" s="140"/>
      <c r="SP6" s="140"/>
      <c r="SQ6" s="140"/>
      <c r="SR6" s="140"/>
      <c r="SS6" s="140"/>
      <c r="ST6" s="140"/>
      <c r="SU6" s="140"/>
      <c r="SV6" s="140"/>
      <c r="SW6" s="140"/>
      <c r="SX6" s="140"/>
      <c r="SY6" s="140"/>
      <c r="SZ6" s="140"/>
      <c r="TA6" s="140"/>
      <c r="TB6" s="140"/>
      <c r="TC6" s="140"/>
      <c r="TD6" s="140"/>
      <c r="TE6" s="140"/>
      <c r="TF6" s="140"/>
      <c r="TG6" s="140"/>
      <c r="TH6" s="140"/>
      <c r="TI6" s="140"/>
      <c r="TJ6" s="140"/>
      <c r="TK6" s="140"/>
      <c r="TL6" s="140"/>
      <c r="TM6" s="140"/>
      <c r="TN6" s="140"/>
      <c r="TO6" s="140"/>
      <c r="TP6" s="140"/>
      <c r="TQ6" s="140"/>
      <c r="TR6" s="140"/>
      <c r="TS6" s="140"/>
      <c r="TT6" s="140"/>
      <c r="TU6" s="140"/>
      <c r="TV6" s="140"/>
      <c r="TW6" s="140"/>
      <c r="TX6" s="140"/>
      <c r="TY6" s="140"/>
      <c r="TZ6" s="140"/>
      <c r="UA6" s="140"/>
      <c r="UB6" s="140"/>
      <c r="UC6" s="140"/>
      <c r="UD6" s="140"/>
      <c r="UE6" s="140"/>
      <c r="UF6" s="140"/>
      <c r="UG6" s="140"/>
      <c r="UH6" s="140"/>
      <c r="UI6" s="140"/>
      <c r="UJ6" s="140"/>
      <c r="UK6" s="140"/>
      <c r="UL6" s="140"/>
      <c r="UM6" s="140"/>
      <c r="UN6" s="140"/>
      <c r="UO6" s="140"/>
      <c r="UP6" s="140"/>
      <c r="UQ6" s="140"/>
      <c r="UR6" s="140"/>
      <c r="US6" s="140"/>
      <c r="UT6" s="140"/>
      <c r="UU6" s="140"/>
      <c r="UV6" s="140"/>
      <c r="UW6" s="140"/>
      <c r="UX6" s="140"/>
      <c r="UY6" s="140"/>
      <c r="UZ6" s="140"/>
      <c r="VA6" s="140"/>
      <c r="VB6" s="140"/>
      <c r="VC6" s="140"/>
      <c r="VD6" s="140"/>
      <c r="VE6" s="140"/>
      <c r="VF6" s="140"/>
      <c r="VG6" s="140"/>
      <c r="VH6" s="140"/>
      <c r="VI6" s="140"/>
      <c r="VJ6" s="140"/>
      <c r="VK6" s="140"/>
      <c r="VL6" s="140"/>
      <c r="VM6" s="140"/>
      <c r="VN6" s="140"/>
      <c r="VO6" s="140"/>
      <c r="VP6" s="140"/>
      <c r="VQ6" s="140"/>
      <c r="VR6" s="140"/>
      <c r="VS6" s="140"/>
      <c r="VT6" s="140"/>
      <c r="VU6" s="140"/>
      <c r="VV6" s="140"/>
      <c r="VW6" s="140"/>
      <c r="VX6" s="140"/>
      <c r="VY6" s="140"/>
      <c r="VZ6" s="140"/>
      <c r="WA6" s="140"/>
      <c r="WB6" s="140"/>
      <c r="WC6" s="140"/>
      <c r="WD6" s="140"/>
      <c r="WE6" s="140"/>
      <c r="WF6" s="140"/>
      <c r="WG6" s="140"/>
    </row>
    <row r="7" spans="1:605" s="123" customFormat="1" ht="17.25" customHeight="1" x14ac:dyDescent="0.25">
      <c r="A7" s="229"/>
      <c r="B7" s="141" t="s">
        <v>413</v>
      </c>
      <c r="C7" s="142"/>
      <c r="D7" s="143" t="s">
        <v>446</v>
      </c>
      <c r="E7" s="143" t="s">
        <v>446</v>
      </c>
      <c r="F7" s="143" t="s">
        <v>447</v>
      </c>
      <c r="G7" s="143" t="s">
        <v>448</v>
      </c>
      <c r="H7" s="143" t="s">
        <v>448</v>
      </c>
      <c r="I7" s="143" t="s">
        <v>449</v>
      </c>
      <c r="J7" s="143" t="s">
        <v>456</v>
      </c>
      <c r="K7" s="143" t="s">
        <v>448</v>
      </c>
      <c r="L7" s="143" t="s">
        <v>459</v>
      </c>
      <c r="M7" s="143" t="s">
        <v>448</v>
      </c>
      <c r="N7" s="143" t="s">
        <v>448</v>
      </c>
      <c r="O7" s="143" t="s">
        <v>448</v>
      </c>
      <c r="P7" s="143" t="s">
        <v>448</v>
      </c>
      <c r="Q7" s="143" t="s">
        <v>446</v>
      </c>
      <c r="R7" s="143"/>
      <c r="S7" s="143" t="s">
        <v>448</v>
      </c>
      <c r="T7" s="143" t="s">
        <v>469</v>
      </c>
      <c r="U7" s="143" t="s">
        <v>446</v>
      </c>
      <c r="V7" s="143" t="s">
        <v>448</v>
      </c>
      <c r="W7" s="143"/>
      <c r="X7" s="143" t="s">
        <v>448</v>
      </c>
      <c r="Y7" s="143" t="s">
        <v>448</v>
      </c>
      <c r="Z7" s="143" t="s">
        <v>448</v>
      </c>
      <c r="AA7" s="143" t="s">
        <v>448</v>
      </c>
      <c r="AB7" s="143"/>
      <c r="AC7" s="143"/>
      <c r="AD7" s="143"/>
      <c r="AE7" s="143"/>
      <c r="AF7" s="143"/>
      <c r="AG7" s="143"/>
      <c r="AH7" s="143"/>
      <c r="AI7" s="143"/>
      <c r="AJ7" s="143"/>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c r="BN7" s="143"/>
      <c r="BO7" s="143"/>
      <c r="BP7" s="143"/>
      <c r="BQ7" s="143"/>
      <c r="BR7" s="143"/>
      <c r="BS7" s="143"/>
      <c r="BT7" s="143"/>
      <c r="BU7" s="143"/>
      <c r="BV7" s="143"/>
      <c r="BW7" s="143"/>
      <c r="BX7" s="143"/>
      <c r="BY7" s="143"/>
      <c r="BZ7" s="143"/>
      <c r="CA7" s="143"/>
      <c r="CB7" s="143"/>
      <c r="CC7" s="143"/>
      <c r="CD7" s="143"/>
      <c r="CE7" s="143"/>
      <c r="CF7" s="143"/>
      <c r="CG7" s="143"/>
      <c r="CH7" s="143"/>
      <c r="CI7" s="143"/>
      <c r="CJ7" s="143"/>
      <c r="CK7" s="143"/>
      <c r="CL7" s="143"/>
      <c r="CM7" s="143"/>
      <c r="CN7" s="143"/>
      <c r="CO7" s="143"/>
      <c r="CP7" s="143"/>
      <c r="CQ7" s="143"/>
      <c r="CR7" s="143"/>
      <c r="CS7" s="143"/>
      <c r="CT7" s="143"/>
      <c r="CU7" s="143"/>
      <c r="CV7" s="143"/>
      <c r="CW7" s="143"/>
      <c r="CX7" s="143"/>
      <c r="CY7" s="143"/>
      <c r="CZ7" s="143"/>
      <c r="DA7" s="143"/>
      <c r="DB7" s="143"/>
      <c r="DC7" s="143"/>
      <c r="DD7" s="143"/>
      <c r="DE7" s="143"/>
      <c r="DF7" s="143"/>
      <c r="DG7" s="143"/>
      <c r="DH7" s="143"/>
      <c r="DI7" s="143"/>
      <c r="DJ7" s="143"/>
      <c r="DK7" s="143"/>
      <c r="DL7" s="143"/>
      <c r="DM7" s="143"/>
      <c r="DN7" s="143"/>
      <c r="DO7" s="143"/>
      <c r="DP7" s="143"/>
      <c r="DQ7" s="143"/>
      <c r="DR7" s="143"/>
      <c r="DS7" s="143"/>
      <c r="DT7" s="143"/>
      <c r="DU7" s="143"/>
      <c r="DV7" s="143"/>
      <c r="DW7" s="143"/>
      <c r="DX7" s="143"/>
      <c r="DY7" s="143"/>
      <c r="DZ7" s="143"/>
      <c r="EA7" s="143"/>
      <c r="EB7" s="143"/>
      <c r="EC7" s="143"/>
      <c r="ED7" s="143"/>
      <c r="EE7" s="143"/>
      <c r="EF7" s="143"/>
      <c r="EG7" s="143"/>
      <c r="EH7" s="143"/>
      <c r="EI7" s="143"/>
      <c r="EJ7" s="143"/>
      <c r="EK7" s="143"/>
      <c r="EL7" s="143"/>
      <c r="EM7" s="143"/>
      <c r="EN7" s="143"/>
      <c r="EO7" s="143"/>
      <c r="EP7" s="143"/>
      <c r="EQ7" s="143"/>
      <c r="ER7" s="143"/>
      <c r="ES7" s="143"/>
      <c r="ET7" s="143"/>
      <c r="EU7" s="143"/>
      <c r="EV7" s="143"/>
      <c r="EW7" s="143"/>
      <c r="EX7" s="143"/>
      <c r="EY7" s="143"/>
      <c r="EZ7" s="143"/>
      <c r="FA7" s="143"/>
      <c r="FB7" s="143"/>
      <c r="FC7" s="143"/>
      <c r="FD7" s="143"/>
      <c r="FE7" s="143"/>
      <c r="FF7" s="143"/>
      <c r="FG7" s="143"/>
      <c r="FH7" s="143"/>
      <c r="FI7" s="143"/>
      <c r="FJ7" s="143"/>
      <c r="FK7" s="143"/>
      <c r="FL7" s="143"/>
      <c r="FM7" s="143"/>
      <c r="FN7" s="143"/>
      <c r="FO7" s="143"/>
      <c r="FP7" s="143"/>
      <c r="FQ7" s="143"/>
      <c r="FR7" s="143"/>
      <c r="FS7" s="143"/>
      <c r="FT7" s="143"/>
      <c r="FU7" s="143"/>
      <c r="FV7" s="143"/>
      <c r="FW7" s="143"/>
      <c r="FX7" s="143"/>
      <c r="FY7" s="143"/>
      <c r="FZ7" s="143"/>
      <c r="GA7" s="143"/>
      <c r="GB7" s="143"/>
      <c r="GC7" s="143"/>
      <c r="GD7" s="143"/>
      <c r="GE7" s="143"/>
      <c r="GF7" s="143"/>
      <c r="GG7" s="143"/>
      <c r="GH7" s="143"/>
      <c r="GI7" s="143"/>
      <c r="GJ7" s="143"/>
      <c r="GK7" s="143"/>
      <c r="GL7" s="143"/>
      <c r="GM7" s="143"/>
      <c r="GN7" s="143"/>
      <c r="GO7" s="143"/>
      <c r="GP7" s="143"/>
      <c r="GQ7" s="143"/>
      <c r="GR7" s="143"/>
      <c r="GS7" s="143"/>
      <c r="GT7" s="143"/>
      <c r="GU7" s="143"/>
      <c r="GV7" s="143"/>
      <c r="GW7" s="143"/>
      <c r="GX7" s="143"/>
      <c r="GY7" s="143"/>
      <c r="GZ7" s="143"/>
      <c r="HA7" s="143"/>
      <c r="HB7" s="143"/>
      <c r="HC7" s="143"/>
      <c r="HD7" s="143"/>
      <c r="HE7" s="143"/>
      <c r="HF7" s="143"/>
      <c r="HG7" s="143"/>
      <c r="HH7" s="143"/>
      <c r="HI7" s="143"/>
      <c r="HJ7" s="143"/>
      <c r="HK7" s="143"/>
      <c r="HL7" s="143"/>
      <c r="HM7" s="143"/>
      <c r="HN7" s="143"/>
      <c r="HO7" s="143"/>
      <c r="HP7" s="143"/>
      <c r="HQ7" s="143"/>
      <c r="HR7" s="143"/>
      <c r="HS7" s="143"/>
      <c r="HT7" s="143"/>
      <c r="HU7" s="143"/>
      <c r="HV7" s="143"/>
      <c r="HW7" s="143"/>
      <c r="HX7" s="143"/>
      <c r="HY7" s="143"/>
      <c r="HZ7" s="143"/>
      <c r="IA7" s="143"/>
      <c r="IB7" s="143"/>
      <c r="IC7" s="143"/>
      <c r="ID7" s="143"/>
      <c r="IE7" s="143"/>
      <c r="IF7" s="143"/>
      <c r="IG7" s="143"/>
      <c r="IH7" s="143"/>
      <c r="II7" s="143"/>
      <c r="IJ7" s="143"/>
      <c r="IK7" s="143"/>
      <c r="IL7" s="143"/>
      <c r="IM7" s="143"/>
      <c r="IN7" s="143"/>
      <c r="IO7" s="143"/>
      <c r="IP7" s="143"/>
      <c r="IQ7" s="143"/>
      <c r="IR7" s="143"/>
      <c r="IS7" s="143"/>
      <c r="IT7" s="143"/>
      <c r="IU7" s="143"/>
      <c r="IV7" s="143"/>
      <c r="IW7" s="143"/>
      <c r="IX7" s="143"/>
      <c r="IY7" s="143"/>
      <c r="IZ7" s="143"/>
      <c r="JA7" s="143"/>
      <c r="JB7" s="143"/>
      <c r="JC7" s="143"/>
      <c r="JD7" s="143"/>
      <c r="JE7" s="143"/>
      <c r="JF7" s="143"/>
      <c r="JG7" s="143"/>
      <c r="JH7" s="143"/>
      <c r="JI7" s="143"/>
      <c r="JJ7" s="143"/>
      <c r="JK7" s="143"/>
      <c r="JL7" s="143"/>
      <c r="JM7" s="143"/>
      <c r="JN7" s="143"/>
      <c r="JO7" s="143"/>
      <c r="JP7" s="143"/>
      <c r="JQ7" s="143"/>
      <c r="JR7" s="143"/>
      <c r="JS7" s="143"/>
      <c r="JT7" s="143"/>
      <c r="JU7" s="143"/>
      <c r="JV7" s="143"/>
      <c r="JW7" s="143"/>
      <c r="JX7" s="143"/>
      <c r="JY7" s="143"/>
      <c r="JZ7" s="143"/>
      <c r="KA7" s="143"/>
      <c r="KB7" s="143"/>
      <c r="KC7" s="143"/>
      <c r="KD7" s="143"/>
      <c r="KE7" s="143"/>
      <c r="KF7" s="143"/>
      <c r="KG7" s="143"/>
      <c r="KH7" s="143"/>
      <c r="KI7" s="143"/>
      <c r="KJ7" s="143"/>
      <c r="KK7" s="143"/>
      <c r="KL7" s="143"/>
      <c r="KM7" s="143"/>
      <c r="KN7" s="143"/>
      <c r="KO7" s="143"/>
      <c r="KP7" s="143"/>
      <c r="KQ7" s="143"/>
      <c r="KR7" s="143"/>
      <c r="KS7" s="143"/>
      <c r="KT7" s="143"/>
      <c r="KU7" s="143"/>
      <c r="KV7" s="143"/>
      <c r="KW7" s="143"/>
      <c r="KX7" s="143"/>
      <c r="KY7" s="143"/>
      <c r="KZ7" s="143"/>
      <c r="LA7" s="143"/>
      <c r="LB7" s="143"/>
      <c r="LC7" s="143"/>
      <c r="LD7" s="143"/>
      <c r="LE7" s="143"/>
      <c r="LF7" s="143"/>
      <c r="LG7" s="143"/>
      <c r="LH7" s="143"/>
      <c r="LI7" s="143"/>
      <c r="LJ7" s="143"/>
      <c r="LK7" s="143"/>
      <c r="LL7" s="143"/>
      <c r="LM7" s="143"/>
      <c r="LN7" s="143"/>
      <c r="LO7" s="143"/>
      <c r="LP7" s="143"/>
      <c r="LQ7" s="143"/>
      <c r="LR7" s="143"/>
      <c r="LS7" s="143"/>
      <c r="LT7" s="143"/>
      <c r="LU7" s="143"/>
      <c r="LV7" s="143"/>
      <c r="LW7" s="143"/>
      <c r="LX7" s="143"/>
      <c r="LY7" s="143"/>
      <c r="LZ7" s="143"/>
      <c r="MA7" s="143"/>
      <c r="MB7" s="143"/>
      <c r="MC7" s="143"/>
      <c r="MD7" s="143"/>
      <c r="ME7" s="143"/>
      <c r="MF7" s="143"/>
      <c r="MG7" s="143"/>
      <c r="MH7" s="143"/>
      <c r="MI7" s="143"/>
      <c r="MJ7" s="143"/>
      <c r="MK7" s="143"/>
      <c r="ML7" s="143"/>
      <c r="MM7" s="143"/>
      <c r="MN7" s="143"/>
      <c r="MO7" s="143"/>
      <c r="MP7" s="143"/>
      <c r="MQ7" s="143"/>
      <c r="MR7" s="143"/>
      <c r="MS7" s="143"/>
      <c r="MT7" s="143"/>
      <c r="MU7" s="143"/>
      <c r="MV7" s="143"/>
      <c r="MW7" s="143"/>
      <c r="MX7" s="143"/>
      <c r="MY7" s="143"/>
      <c r="MZ7" s="143"/>
      <c r="NA7" s="143"/>
      <c r="NB7" s="143"/>
      <c r="NC7" s="143"/>
      <c r="ND7" s="143"/>
      <c r="NE7" s="143"/>
      <c r="NF7" s="143"/>
      <c r="NG7" s="143"/>
      <c r="NH7" s="143"/>
      <c r="NI7" s="143"/>
      <c r="NJ7" s="143"/>
      <c r="NK7" s="143"/>
      <c r="NL7" s="143"/>
      <c r="NM7" s="143"/>
      <c r="NN7" s="143"/>
      <c r="NO7" s="143"/>
      <c r="NP7" s="143"/>
      <c r="NQ7" s="143"/>
      <c r="NR7" s="143"/>
      <c r="NS7" s="143"/>
      <c r="NT7" s="143"/>
      <c r="NU7" s="143"/>
      <c r="NV7" s="143"/>
      <c r="NW7" s="143"/>
      <c r="NX7" s="143"/>
      <c r="NY7" s="143"/>
      <c r="NZ7" s="143"/>
      <c r="OA7" s="143"/>
      <c r="OB7" s="143"/>
      <c r="OC7" s="143"/>
      <c r="OD7" s="143"/>
      <c r="OE7" s="143"/>
      <c r="OF7" s="143"/>
      <c r="OG7" s="143"/>
      <c r="OH7" s="143"/>
      <c r="OI7" s="143"/>
      <c r="OJ7" s="143"/>
      <c r="OK7" s="143"/>
      <c r="OL7" s="143"/>
      <c r="OM7" s="143"/>
      <c r="ON7" s="143"/>
      <c r="OO7" s="143"/>
      <c r="OP7" s="143"/>
      <c r="OQ7" s="143"/>
      <c r="OR7" s="143"/>
      <c r="OS7" s="143"/>
      <c r="OT7" s="143"/>
      <c r="OU7" s="143"/>
      <c r="OV7" s="143"/>
      <c r="OW7" s="143"/>
      <c r="OX7" s="143"/>
      <c r="OY7" s="143"/>
      <c r="OZ7" s="143"/>
      <c r="PA7" s="143"/>
      <c r="PB7" s="143"/>
      <c r="PC7" s="143"/>
      <c r="PD7" s="143"/>
      <c r="PE7" s="143"/>
      <c r="PF7" s="143"/>
      <c r="PG7" s="143"/>
      <c r="PH7" s="143"/>
      <c r="PI7" s="143"/>
      <c r="PJ7" s="143"/>
      <c r="PK7" s="143"/>
      <c r="PL7" s="143"/>
      <c r="PM7" s="143"/>
      <c r="PN7" s="143"/>
      <c r="PO7" s="143"/>
      <c r="PP7" s="143"/>
      <c r="PQ7" s="143"/>
      <c r="PR7" s="143"/>
      <c r="PS7" s="143"/>
      <c r="PT7" s="143"/>
      <c r="PU7" s="143"/>
      <c r="PV7" s="143"/>
      <c r="PW7" s="143"/>
      <c r="PX7" s="143"/>
      <c r="PY7" s="143"/>
      <c r="PZ7" s="143"/>
      <c r="QA7" s="143"/>
      <c r="QB7" s="143"/>
      <c r="QC7" s="143"/>
      <c r="QD7" s="143"/>
      <c r="QE7" s="143"/>
      <c r="QF7" s="143"/>
      <c r="QG7" s="143"/>
      <c r="QH7" s="143"/>
      <c r="QI7" s="143"/>
      <c r="QJ7" s="143"/>
      <c r="QK7" s="143"/>
      <c r="QL7" s="143"/>
      <c r="QM7" s="143"/>
      <c r="QN7" s="143"/>
      <c r="QO7" s="143"/>
      <c r="QP7" s="143"/>
      <c r="QQ7" s="143"/>
      <c r="QR7" s="143"/>
      <c r="QS7" s="143"/>
      <c r="QT7" s="143"/>
      <c r="QU7" s="143"/>
      <c r="QV7" s="143"/>
      <c r="QW7" s="143"/>
      <c r="QX7" s="143"/>
      <c r="QY7" s="143"/>
      <c r="QZ7" s="143"/>
      <c r="RA7" s="143"/>
      <c r="RB7" s="143"/>
      <c r="RC7" s="143"/>
      <c r="RD7" s="143"/>
      <c r="RE7" s="143"/>
      <c r="RF7" s="143"/>
      <c r="RG7" s="143"/>
      <c r="RH7" s="143"/>
      <c r="RI7" s="143"/>
      <c r="RJ7" s="143"/>
      <c r="RK7" s="143"/>
      <c r="RL7" s="143"/>
      <c r="RM7" s="143"/>
      <c r="RN7" s="143"/>
      <c r="RO7" s="143"/>
      <c r="RP7" s="143"/>
      <c r="RQ7" s="143"/>
      <c r="RR7" s="143"/>
      <c r="RS7" s="143"/>
      <c r="RT7" s="143"/>
      <c r="RU7" s="143"/>
      <c r="RV7" s="143"/>
      <c r="RW7" s="143"/>
      <c r="RX7" s="143"/>
      <c r="RY7" s="143"/>
      <c r="RZ7" s="143"/>
      <c r="SA7" s="143"/>
      <c r="SB7" s="143"/>
      <c r="SC7" s="143"/>
      <c r="SD7" s="143"/>
      <c r="SE7" s="143"/>
      <c r="SF7" s="143"/>
      <c r="SG7" s="143"/>
      <c r="SH7" s="143"/>
      <c r="SI7" s="143"/>
      <c r="SJ7" s="143"/>
      <c r="SK7" s="143"/>
      <c r="SL7" s="143"/>
      <c r="SM7" s="143"/>
      <c r="SN7" s="143"/>
      <c r="SO7" s="143"/>
      <c r="SP7" s="143"/>
      <c r="SQ7" s="143"/>
      <c r="SR7" s="143"/>
      <c r="SS7" s="143"/>
      <c r="ST7" s="143"/>
      <c r="SU7" s="143"/>
      <c r="SV7" s="143"/>
      <c r="SW7" s="143"/>
      <c r="SX7" s="143"/>
      <c r="SY7" s="143"/>
      <c r="SZ7" s="143"/>
      <c r="TA7" s="143"/>
      <c r="TB7" s="143"/>
      <c r="TC7" s="143"/>
      <c r="TD7" s="143"/>
      <c r="TE7" s="143"/>
      <c r="TF7" s="143"/>
      <c r="TG7" s="143"/>
      <c r="TH7" s="143"/>
      <c r="TI7" s="143"/>
      <c r="TJ7" s="143"/>
      <c r="TK7" s="143"/>
      <c r="TL7" s="143"/>
      <c r="TM7" s="143"/>
      <c r="TN7" s="143"/>
      <c r="TO7" s="143"/>
      <c r="TP7" s="143"/>
      <c r="TQ7" s="143"/>
      <c r="TR7" s="143"/>
      <c r="TS7" s="143"/>
      <c r="TT7" s="143"/>
      <c r="TU7" s="143"/>
      <c r="TV7" s="143"/>
      <c r="TW7" s="143"/>
      <c r="TX7" s="143"/>
      <c r="TY7" s="143"/>
      <c r="TZ7" s="143"/>
      <c r="UA7" s="143"/>
      <c r="UB7" s="143"/>
      <c r="UC7" s="143"/>
      <c r="UD7" s="143"/>
      <c r="UE7" s="143"/>
      <c r="UF7" s="143"/>
      <c r="UG7" s="143"/>
      <c r="UH7" s="143"/>
      <c r="UI7" s="143"/>
      <c r="UJ7" s="143"/>
      <c r="UK7" s="143"/>
      <c r="UL7" s="143"/>
      <c r="UM7" s="143"/>
      <c r="UN7" s="143"/>
      <c r="UO7" s="143"/>
      <c r="UP7" s="143"/>
      <c r="UQ7" s="143"/>
      <c r="UR7" s="143"/>
      <c r="US7" s="143"/>
      <c r="UT7" s="143"/>
      <c r="UU7" s="143"/>
      <c r="UV7" s="143"/>
      <c r="UW7" s="143"/>
      <c r="UX7" s="143"/>
      <c r="UY7" s="143"/>
      <c r="UZ7" s="143"/>
      <c r="VA7" s="143"/>
      <c r="VB7" s="143"/>
      <c r="VC7" s="143"/>
      <c r="VD7" s="143"/>
      <c r="VE7" s="143"/>
      <c r="VF7" s="143"/>
      <c r="VG7" s="143"/>
      <c r="VH7" s="143"/>
      <c r="VI7" s="143"/>
      <c r="VJ7" s="143"/>
      <c r="VK7" s="143"/>
      <c r="VL7" s="143"/>
      <c r="VM7" s="143"/>
      <c r="VN7" s="143"/>
      <c r="VO7" s="143"/>
      <c r="VP7" s="143"/>
      <c r="VQ7" s="143"/>
      <c r="VR7" s="143"/>
      <c r="VS7" s="143"/>
      <c r="VT7" s="143"/>
      <c r="VU7" s="143"/>
      <c r="VV7" s="143"/>
      <c r="VW7" s="143"/>
      <c r="VX7" s="143"/>
      <c r="VY7" s="143"/>
      <c r="VZ7" s="143"/>
      <c r="WA7" s="143"/>
      <c r="WB7" s="143"/>
      <c r="WC7" s="143"/>
      <c r="WD7" s="143"/>
      <c r="WE7" s="143"/>
      <c r="WF7" s="143"/>
      <c r="WG7" s="143"/>
    </row>
    <row r="8" spans="1:605" s="123" customFormat="1" ht="15.75" customHeight="1" x14ac:dyDescent="0.15">
      <c r="A8" s="228" t="s">
        <v>405</v>
      </c>
      <c r="B8" s="144" t="s">
        <v>432</v>
      </c>
      <c r="C8" s="145" t="s">
        <v>435</v>
      </c>
      <c r="D8" s="146" t="s">
        <v>450</v>
      </c>
      <c r="E8" s="146" t="s">
        <v>455</v>
      </c>
      <c r="F8" s="146" t="s">
        <v>455</v>
      </c>
      <c r="G8" s="146" t="s">
        <v>455</v>
      </c>
      <c r="H8" s="146" t="s">
        <v>455</v>
      </c>
      <c r="I8" s="146" t="s">
        <v>455</v>
      </c>
      <c r="J8" s="146" t="s">
        <v>455</v>
      </c>
      <c r="K8" s="146"/>
      <c r="L8" s="146"/>
      <c r="M8" s="146"/>
      <c r="N8" s="146"/>
      <c r="O8" s="146"/>
      <c r="P8" s="146"/>
      <c r="Q8" s="146"/>
      <c r="R8" s="146" t="s">
        <v>450</v>
      </c>
      <c r="S8" s="146" t="s">
        <v>466</v>
      </c>
      <c r="T8" s="146" t="s">
        <v>470</v>
      </c>
      <c r="U8" s="146" t="s">
        <v>466</v>
      </c>
      <c r="V8" s="146" t="s">
        <v>450</v>
      </c>
      <c r="W8" s="146" t="s">
        <v>479</v>
      </c>
      <c r="X8" s="146" t="s">
        <v>479</v>
      </c>
      <c r="Y8" s="146" t="s">
        <v>479</v>
      </c>
      <c r="Z8" s="146" t="s">
        <v>484</v>
      </c>
      <c r="AA8" s="146" t="s">
        <v>479</v>
      </c>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146"/>
      <c r="BJ8" s="146"/>
      <c r="BK8" s="146"/>
      <c r="BL8" s="146"/>
      <c r="BM8" s="146"/>
      <c r="BN8" s="146"/>
      <c r="BO8" s="146"/>
      <c r="BP8" s="146"/>
      <c r="BQ8" s="146"/>
      <c r="BR8" s="146"/>
      <c r="BS8" s="146"/>
      <c r="BT8" s="146"/>
      <c r="BU8" s="146"/>
      <c r="BV8" s="146"/>
      <c r="BW8" s="146"/>
      <c r="BX8" s="146"/>
      <c r="BY8" s="146"/>
      <c r="BZ8" s="146"/>
      <c r="CA8" s="146"/>
      <c r="CB8" s="146"/>
      <c r="CC8" s="146"/>
      <c r="CD8" s="146"/>
      <c r="CE8" s="146"/>
      <c r="CF8" s="146"/>
      <c r="CG8" s="146"/>
      <c r="CH8" s="146"/>
      <c r="CI8" s="146"/>
      <c r="CJ8" s="146"/>
      <c r="CK8" s="146"/>
      <c r="CL8" s="146"/>
      <c r="CM8" s="146"/>
      <c r="CN8" s="146"/>
      <c r="CO8" s="146"/>
      <c r="CP8" s="146"/>
      <c r="CQ8" s="146"/>
      <c r="CR8" s="146"/>
      <c r="CS8" s="146"/>
      <c r="CT8" s="146"/>
      <c r="CU8" s="146"/>
      <c r="CV8" s="146"/>
      <c r="CW8" s="146"/>
      <c r="CX8" s="146"/>
      <c r="CY8" s="146"/>
      <c r="CZ8" s="146"/>
      <c r="DA8" s="146"/>
      <c r="DB8" s="146"/>
      <c r="DC8" s="146"/>
      <c r="DD8" s="146"/>
      <c r="DE8" s="146"/>
      <c r="DF8" s="146"/>
      <c r="DG8" s="146"/>
      <c r="DH8" s="146"/>
      <c r="DI8" s="146"/>
      <c r="DJ8" s="146"/>
      <c r="DK8" s="146"/>
      <c r="DL8" s="146"/>
      <c r="DM8" s="146"/>
      <c r="DN8" s="146"/>
      <c r="DO8" s="146"/>
      <c r="DP8" s="146"/>
      <c r="DQ8" s="146"/>
      <c r="DR8" s="146"/>
      <c r="DS8" s="146"/>
      <c r="DT8" s="146"/>
      <c r="DU8" s="146"/>
      <c r="DV8" s="146"/>
      <c r="DW8" s="146"/>
      <c r="DX8" s="146"/>
      <c r="DY8" s="146"/>
      <c r="DZ8" s="146"/>
      <c r="EA8" s="146"/>
      <c r="EB8" s="146"/>
      <c r="EC8" s="146"/>
      <c r="ED8" s="146"/>
      <c r="EE8" s="146"/>
      <c r="EF8" s="146"/>
      <c r="EG8" s="146"/>
      <c r="EH8" s="146"/>
      <c r="EI8" s="146"/>
      <c r="EJ8" s="146"/>
      <c r="EK8" s="146"/>
      <c r="EL8" s="146"/>
      <c r="EM8" s="146"/>
      <c r="EN8" s="146"/>
      <c r="EO8" s="146"/>
      <c r="EP8" s="146"/>
      <c r="EQ8" s="146"/>
      <c r="ER8" s="146"/>
      <c r="ES8" s="146"/>
      <c r="ET8" s="146"/>
      <c r="EU8" s="146"/>
      <c r="EV8" s="146"/>
      <c r="EW8" s="146"/>
      <c r="EX8" s="146"/>
      <c r="EY8" s="146"/>
      <c r="EZ8" s="146"/>
      <c r="FA8" s="146"/>
      <c r="FB8" s="146"/>
      <c r="FC8" s="146"/>
      <c r="FD8" s="146"/>
      <c r="FE8" s="146"/>
      <c r="FF8" s="146"/>
      <c r="FG8" s="146"/>
      <c r="FH8" s="146"/>
      <c r="FI8" s="146"/>
      <c r="FJ8" s="146"/>
      <c r="FK8" s="146"/>
      <c r="FL8" s="146"/>
      <c r="FM8" s="146"/>
      <c r="FN8" s="146"/>
      <c r="FO8" s="146"/>
      <c r="FP8" s="146"/>
      <c r="FQ8" s="146"/>
      <c r="FR8" s="146"/>
      <c r="FS8" s="146"/>
      <c r="FT8" s="146"/>
      <c r="FU8" s="146"/>
      <c r="FV8" s="146"/>
      <c r="FW8" s="146"/>
      <c r="FX8" s="146"/>
      <c r="FY8" s="146"/>
      <c r="FZ8" s="146"/>
      <c r="GA8" s="146"/>
      <c r="GB8" s="146"/>
      <c r="GC8" s="146"/>
      <c r="GD8" s="146"/>
      <c r="GE8" s="146"/>
      <c r="GF8" s="146"/>
      <c r="GG8" s="146"/>
      <c r="GH8" s="146"/>
      <c r="GI8" s="146"/>
      <c r="GJ8" s="146"/>
      <c r="GK8" s="146"/>
      <c r="GL8" s="146"/>
      <c r="GM8" s="146"/>
      <c r="GN8" s="146"/>
      <c r="GO8" s="146"/>
      <c r="GP8" s="146"/>
      <c r="GQ8" s="146"/>
      <c r="GR8" s="146"/>
      <c r="GS8" s="146"/>
      <c r="GT8" s="146"/>
      <c r="GU8" s="146"/>
      <c r="GV8" s="146"/>
      <c r="GW8" s="146"/>
      <c r="GX8" s="146"/>
      <c r="GY8" s="146"/>
      <c r="GZ8" s="146"/>
      <c r="HA8" s="146"/>
      <c r="HB8" s="146"/>
      <c r="HC8" s="146"/>
      <c r="HD8" s="146"/>
      <c r="HE8" s="146"/>
      <c r="HF8" s="146"/>
      <c r="HG8" s="146"/>
      <c r="HH8" s="146"/>
      <c r="HI8" s="146"/>
      <c r="HJ8" s="146"/>
      <c r="HK8" s="146"/>
      <c r="HL8" s="146"/>
      <c r="HM8" s="146"/>
      <c r="HN8" s="146"/>
      <c r="HO8" s="146"/>
      <c r="HP8" s="146"/>
      <c r="HQ8" s="146"/>
      <c r="HR8" s="146"/>
      <c r="HS8" s="146"/>
      <c r="HT8" s="146"/>
      <c r="HU8" s="146"/>
      <c r="HV8" s="146"/>
      <c r="HW8" s="146"/>
      <c r="HX8" s="146"/>
      <c r="HY8" s="146"/>
      <c r="HZ8" s="146"/>
      <c r="IA8" s="146"/>
      <c r="IB8" s="146"/>
      <c r="IC8" s="146"/>
      <c r="ID8" s="146"/>
      <c r="IE8" s="146"/>
      <c r="IF8" s="146"/>
      <c r="IG8" s="146"/>
      <c r="IH8" s="146"/>
      <c r="II8" s="146"/>
      <c r="IJ8" s="146"/>
      <c r="IK8" s="146"/>
      <c r="IL8" s="146"/>
      <c r="IM8" s="146"/>
      <c r="IN8" s="146"/>
      <c r="IO8" s="146"/>
      <c r="IP8" s="146"/>
      <c r="IQ8" s="146"/>
      <c r="IR8" s="146"/>
      <c r="IS8" s="146"/>
      <c r="IT8" s="146"/>
      <c r="IU8" s="146"/>
      <c r="IV8" s="146"/>
      <c r="IW8" s="146"/>
      <c r="IX8" s="146"/>
      <c r="IY8" s="146"/>
      <c r="IZ8" s="146"/>
      <c r="JA8" s="146"/>
      <c r="JB8" s="146"/>
      <c r="JC8" s="146"/>
      <c r="JD8" s="146"/>
      <c r="JE8" s="146"/>
      <c r="JF8" s="146"/>
      <c r="JG8" s="146"/>
      <c r="JH8" s="146"/>
      <c r="JI8" s="146"/>
      <c r="JJ8" s="146"/>
      <c r="JK8" s="146"/>
      <c r="JL8" s="146"/>
      <c r="JM8" s="146"/>
      <c r="JN8" s="146"/>
      <c r="JO8" s="146"/>
      <c r="JP8" s="146"/>
      <c r="JQ8" s="146"/>
      <c r="JR8" s="146"/>
      <c r="JS8" s="146"/>
      <c r="JT8" s="146"/>
      <c r="JU8" s="146"/>
      <c r="JV8" s="146"/>
      <c r="JW8" s="146"/>
      <c r="JX8" s="146"/>
      <c r="JY8" s="146"/>
      <c r="JZ8" s="146"/>
      <c r="KA8" s="146"/>
      <c r="KB8" s="146"/>
      <c r="KC8" s="146"/>
      <c r="KD8" s="146"/>
      <c r="KE8" s="146"/>
      <c r="KF8" s="146"/>
      <c r="KG8" s="146"/>
      <c r="KH8" s="146"/>
      <c r="KI8" s="146"/>
      <c r="KJ8" s="146"/>
      <c r="KK8" s="146"/>
      <c r="KL8" s="146"/>
      <c r="KM8" s="146"/>
      <c r="KN8" s="146"/>
      <c r="KO8" s="146"/>
      <c r="KP8" s="146"/>
      <c r="KQ8" s="146"/>
      <c r="KR8" s="146"/>
      <c r="KS8" s="146"/>
      <c r="KT8" s="146"/>
      <c r="KU8" s="146"/>
      <c r="KV8" s="146"/>
      <c r="KW8" s="146"/>
      <c r="KX8" s="146"/>
      <c r="KY8" s="146"/>
      <c r="KZ8" s="146"/>
      <c r="LA8" s="146"/>
      <c r="LB8" s="146"/>
      <c r="LC8" s="146"/>
      <c r="LD8" s="146"/>
      <c r="LE8" s="146"/>
      <c r="LF8" s="146"/>
      <c r="LG8" s="146"/>
      <c r="LH8" s="146"/>
      <c r="LI8" s="146"/>
      <c r="LJ8" s="146"/>
      <c r="LK8" s="146"/>
      <c r="LL8" s="146"/>
      <c r="LM8" s="146"/>
      <c r="LN8" s="146"/>
      <c r="LO8" s="146"/>
      <c r="LP8" s="146"/>
      <c r="LQ8" s="146"/>
      <c r="LR8" s="146"/>
      <c r="LS8" s="146"/>
      <c r="LT8" s="146"/>
      <c r="LU8" s="146"/>
      <c r="LV8" s="146"/>
      <c r="LW8" s="146"/>
      <c r="LX8" s="146"/>
      <c r="LY8" s="146"/>
      <c r="LZ8" s="146"/>
      <c r="MA8" s="146"/>
      <c r="MB8" s="146"/>
      <c r="MC8" s="146"/>
      <c r="MD8" s="146"/>
      <c r="ME8" s="146"/>
      <c r="MF8" s="146"/>
      <c r="MG8" s="146"/>
      <c r="MH8" s="146"/>
      <c r="MI8" s="146"/>
      <c r="MJ8" s="146"/>
      <c r="MK8" s="146"/>
      <c r="ML8" s="146"/>
      <c r="MM8" s="146"/>
      <c r="MN8" s="146"/>
      <c r="MO8" s="146"/>
      <c r="MP8" s="146"/>
      <c r="MQ8" s="146"/>
      <c r="MR8" s="146"/>
      <c r="MS8" s="146"/>
      <c r="MT8" s="146"/>
      <c r="MU8" s="146"/>
      <c r="MV8" s="146"/>
      <c r="MW8" s="146"/>
      <c r="MX8" s="146"/>
      <c r="MY8" s="146"/>
      <c r="MZ8" s="146"/>
      <c r="NA8" s="146"/>
      <c r="NB8" s="146"/>
      <c r="NC8" s="146"/>
      <c r="ND8" s="146"/>
      <c r="NE8" s="146"/>
      <c r="NF8" s="146"/>
      <c r="NG8" s="146"/>
      <c r="NH8" s="146"/>
      <c r="NI8" s="146"/>
      <c r="NJ8" s="146"/>
      <c r="NK8" s="146"/>
      <c r="NL8" s="146"/>
      <c r="NM8" s="146"/>
      <c r="NN8" s="146"/>
      <c r="NO8" s="146"/>
      <c r="NP8" s="146"/>
      <c r="NQ8" s="146"/>
      <c r="NR8" s="146"/>
      <c r="NS8" s="146"/>
      <c r="NT8" s="146"/>
      <c r="NU8" s="146"/>
      <c r="NV8" s="146"/>
      <c r="NW8" s="146"/>
      <c r="NX8" s="146"/>
      <c r="NY8" s="146"/>
      <c r="NZ8" s="146"/>
      <c r="OA8" s="146"/>
      <c r="OB8" s="146"/>
      <c r="OC8" s="146"/>
      <c r="OD8" s="146"/>
      <c r="OE8" s="146"/>
      <c r="OF8" s="146"/>
      <c r="OG8" s="146"/>
      <c r="OH8" s="146"/>
      <c r="OI8" s="146"/>
      <c r="OJ8" s="146"/>
      <c r="OK8" s="146"/>
      <c r="OL8" s="146"/>
      <c r="OM8" s="146"/>
      <c r="ON8" s="146"/>
      <c r="OO8" s="146"/>
      <c r="OP8" s="146"/>
      <c r="OQ8" s="146"/>
      <c r="OR8" s="146"/>
      <c r="OS8" s="146"/>
      <c r="OT8" s="146"/>
      <c r="OU8" s="146"/>
      <c r="OV8" s="146"/>
      <c r="OW8" s="146"/>
      <c r="OX8" s="146"/>
      <c r="OY8" s="146"/>
      <c r="OZ8" s="146"/>
      <c r="PA8" s="146"/>
      <c r="PB8" s="146"/>
      <c r="PC8" s="146"/>
      <c r="PD8" s="146"/>
      <c r="PE8" s="146"/>
      <c r="PF8" s="146"/>
      <c r="PG8" s="146"/>
      <c r="PH8" s="146"/>
      <c r="PI8" s="146"/>
      <c r="PJ8" s="146"/>
      <c r="PK8" s="146"/>
      <c r="PL8" s="146"/>
      <c r="PM8" s="146"/>
      <c r="PN8" s="146"/>
      <c r="PO8" s="146"/>
      <c r="PP8" s="146"/>
      <c r="PQ8" s="146"/>
      <c r="PR8" s="146"/>
      <c r="PS8" s="146"/>
      <c r="PT8" s="146"/>
      <c r="PU8" s="146"/>
      <c r="PV8" s="146"/>
      <c r="PW8" s="146"/>
      <c r="PX8" s="146"/>
      <c r="PY8" s="146"/>
      <c r="PZ8" s="146"/>
      <c r="QA8" s="146"/>
      <c r="QB8" s="146"/>
      <c r="QC8" s="146"/>
      <c r="QD8" s="146"/>
      <c r="QE8" s="146"/>
      <c r="QF8" s="146"/>
      <c r="QG8" s="146"/>
      <c r="QH8" s="146"/>
      <c r="QI8" s="146"/>
      <c r="QJ8" s="146"/>
      <c r="QK8" s="146"/>
      <c r="QL8" s="146"/>
      <c r="QM8" s="146"/>
      <c r="QN8" s="146"/>
      <c r="QO8" s="146"/>
      <c r="QP8" s="146"/>
      <c r="QQ8" s="146"/>
      <c r="QR8" s="146"/>
      <c r="QS8" s="146"/>
      <c r="QT8" s="146"/>
      <c r="QU8" s="146"/>
      <c r="QV8" s="146"/>
      <c r="QW8" s="146"/>
      <c r="QX8" s="146"/>
      <c r="QY8" s="146"/>
      <c r="QZ8" s="146"/>
      <c r="RA8" s="146"/>
      <c r="RB8" s="146"/>
      <c r="RC8" s="146"/>
      <c r="RD8" s="146"/>
      <c r="RE8" s="146"/>
      <c r="RF8" s="146"/>
      <c r="RG8" s="146"/>
      <c r="RH8" s="146"/>
      <c r="RI8" s="146"/>
      <c r="RJ8" s="146"/>
      <c r="RK8" s="146"/>
      <c r="RL8" s="146"/>
      <c r="RM8" s="146"/>
      <c r="RN8" s="146"/>
      <c r="RO8" s="146"/>
      <c r="RP8" s="146"/>
      <c r="RQ8" s="146"/>
      <c r="RR8" s="146"/>
      <c r="RS8" s="146"/>
      <c r="RT8" s="146"/>
      <c r="RU8" s="146"/>
      <c r="RV8" s="146"/>
      <c r="RW8" s="146"/>
      <c r="RX8" s="146"/>
      <c r="RY8" s="146"/>
      <c r="RZ8" s="146"/>
      <c r="SA8" s="146"/>
      <c r="SB8" s="146"/>
      <c r="SC8" s="146"/>
      <c r="SD8" s="146"/>
      <c r="SE8" s="146"/>
      <c r="SF8" s="146"/>
      <c r="SG8" s="146"/>
      <c r="SH8" s="146"/>
      <c r="SI8" s="146"/>
      <c r="SJ8" s="146"/>
      <c r="SK8" s="146"/>
      <c r="SL8" s="146"/>
      <c r="SM8" s="146"/>
      <c r="SN8" s="146"/>
      <c r="SO8" s="146"/>
      <c r="SP8" s="146"/>
      <c r="SQ8" s="146"/>
      <c r="SR8" s="146"/>
      <c r="SS8" s="146"/>
      <c r="ST8" s="146"/>
      <c r="SU8" s="146"/>
      <c r="SV8" s="146"/>
      <c r="SW8" s="146"/>
      <c r="SX8" s="146"/>
      <c r="SY8" s="146"/>
      <c r="SZ8" s="146"/>
      <c r="TA8" s="146"/>
      <c r="TB8" s="146"/>
      <c r="TC8" s="146"/>
      <c r="TD8" s="146"/>
      <c r="TE8" s="146"/>
      <c r="TF8" s="146"/>
      <c r="TG8" s="146"/>
      <c r="TH8" s="146"/>
      <c r="TI8" s="146"/>
      <c r="TJ8" s="146"/>
      <c r="TK8" s="146"/>
      <c r="TL8" s="146"/>
      <c r="TM8" s="146"/>
      <c r="TN8" s="146"/>
      <c r="TO8" s="146"/>
      <c r="TP8" s="146"/>
      <c r="TQ8" s="146"/>
      <c r="TR8" s="146"/>
      <c r="TS8" s="146"/>
      <c r="TT8" s="146"/>
      <c r="TU8" s="146"/>
      <c r="TV8" s="146"/>
      <c r="TW8" s="146"/>
      <c r="TX8" s="146"/>
      <c r="TY8" s="146"/>
      <c r="TZ8" s="146"/>
      <c r="UA8" s="146"/>
      <c r="UB8" s="146"/>
      <c r="UC8" s="146"/>
      <c r="UD8" s="146"/>
      <c r="UE8" s="146"/>
      <c r="UF8" s="146"/>
      <c r="UG8" s="146"/>
      <c r="UH8" s="146"/>
      <c r="UI8" s="146"/>
      <c r="UJ8" s="146"/>
      <c r="UK8" s="146"/>
      <c r="UL8" s="146"/>
      <c r="UM8" s="146"/>
      <c r="UN8" s="146"/>
      <c r="UO8" s="146"/>
      <c r="UP8" s="146"/>
      <c r="UQ8" s="146"/>
      <c r="UR8" s="146"/>
      <c r="US8" s="146"/>
      <c r="UT8" s="146"/>
      <c r="UU8" s="146"/>
      <c r="UV8" s="146"/>
      <c r="UW8" s="146"/>
      <c r="UX8" s="146"/>
      <c r="UY8" s="146"/>
      <c r="UZ8" s="146"/>
      <c r="VA8" s="146"/>
      <c r="VB8" s="146"/>
      <c r="VC8" s="146"/>
      <c r="VD8" s="146"/>
      <c r="VE8" s="146"/>
      <c r="VF8" s="146"/>
      <c r="VG8" s="146"/>
      <c r="VH8" s="146"/>
      <c r="VI8" s="146"/>
      <c r="VJ8" s="146"/>
      <c r="VK8" s="146"/>
      <c r="VL8" s="146"/>
      <c r="VM8" s="146"/>
      <c r="VN8" s="146"/>
      <c r="VO8" s="146"/>
      <c r="VP8" s="146"/>
      <c r="VQ8" s="146"/>
      <c r="VR8" s="146"/>
      <c r="VS8" s="146"/>
      <c r="VT8" s="146"/>
      <c r="VU8" s="146"/>
      <c r="VV8" s="146"/>
      <c r="VW8" s="146"/>
      <c r="VX8" s="146"/>
      <c r="VY8" s="146"/>
      <c r="VZ8" s="146"/>
      <c r="WA8" s="146"/>
      <c r="WB8" s="146"/>
      <c r="WC8" s="146"/>
      <c r="WD8" s="146"/>
      <c r="WE8" s="146"/>
      <c r="WF8" s="146"/>
      <c r="WG8" s="146"/>
    </row>
    <row r="9" spans="1:605" s="122" customFormat="1" ht="15.75" customHeight="1" x14ac:dyDescent="0.15">
      <c r="A9" s="228"/>
      <c r="B9" s="147" t="s">
        <v>433</v>
      </c>
      <c r="C9" s="148" t="s">
        <v>411</v>
      </c>
      <c r="D9" s="149">
        <v>3</v>
      </c>
      <c r="E9" s="149">
        <v>3</v>
      </c>
      <c r="F9" s="149">
        <v>4</v>
      </c>
      <c r="G9" s="149">
        <v>3</v>
      </c>
      <c r="H9" s="149">
        <v>3</v>
      </c>
      <c r="I9" s="149">
        <v>3</v>
      </c>
      <c r="J9" s="149">
        <v>3</v>
      </c>
      <c r="K9" s="149">
        <v>4</v>
      </c>
      <c r="L9" s="149">
        <v>3</v>
      </c>
      <c r="M9" s="149">
        <v>3</v>
      </c>
      <c r="N9" s="149">
        <v>3</v>
      </c>
      <c r="O9" s="149">
        <v>3</v>
      </c>
      <c r="P9" s="149">
        <v>2</v>
      </c>
      <c r="Q9" s="149">
        <v>2</v>
      </c>
      <c r="R9" s="149">
        <v>5</v>
      </c>
      <c r="S9" s="149">
        <v>2</v>
      </c>
      <c r="T9" s="149">
        <v>2</v>
      </c>
      <c r="U9" s="149">
        <v>2</v>
      </c>
      <c r="V9" s="149">
        <v>2</v>
      </c>
      <c r="W9" s="149">
        <v>3</v>
      </c>
      <c r="X9" s="149">
        <v>2</v>
      </c>
      <c r="Y9" s="149">
        <v>3</v>
      </c>
      <c r="Z9" s="149">
        <v>3</v>
      </c>
      <c r="AA9" s="149">
        <v>3</v>
      </c>
      <c r="AB9" s="149"/>
      <c r="AC9" s="149"/>
      <c r="AD9" s="149"/>
      <c r="AE9" s="149"/>
      <c r="AF9" s="149"/>
      <c r="AG9" s="149"/>
      <c r="AH9" s="149"/>
      <c r="AI9" s="149"/>
      <c r="AJ9" s="149"/>
      <c r="AK9" s="149"/>
      <c r="AL9" s="149"/>
      <c r="AM9" s="149"/>
      <c r="AN9" s="149"/>
      <c r="AO9" s="149"/>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49"/>
      <c r="CC9" s="149"/>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49"/>
      <c r="DP9" s="149"/>
      <c r="DQ9" s="149"/>
      <c r="DR9" s="149"/>
      <c r="DS9" s="149"/>
      <c r="DT9" s="149"/>
      <c r="DU9" s="149"/>
      <c r="DV9" s="149"/>
      <c r="DW9" s="149"/>
      <c r="DX9" s="149"/>
      <c r="DY9" s="149"/>
      <c r="DZ9" s="149"/>
      <c r="EA9" s="149"/>
      <c r="EB9" s="149"/>
      <c r="EC9" s="149"/>
      <c r="ED9" s="149"/>
      <c r="EE9" s="149"/>
      <c r="EF9" s="149"/>
      <c r="EG9" s="149"/>
      <c r="EH9" s="149"/>
      <c r="EI9" s="149"/>
      <c r="EJ9" s="149"/>
      <c r="EK9" s="149"/>
      <c r="EL9" s="149"/>
      <c r="EM9" s="149"/>
      <c r="EN9" s="149"/>
      <c r="EO9" s="149"/>
      <c r="EP9" s="149"/>
      <c r="EQ9" s="149"/>
      <c r="ER9" s="149"/>
      <c r="ES9" s="149"/>
      <c r="ET9" s="149"/>
      <c r="EU9" s="149"/>
      <c r="EV9" s="149"/>
      <c r="EW9" s="149"/>
      <c r="EX9" s="149"/>
      <c r="EY9" s="149"/>
      <c r="EZ9" s="149"/>
      <c r="FA9" s="149"/>
      <c r="FB9" s="149"/>
      <c r="FC9" s="149"/>
      <c r="FD9" s="149"/>
      <c r="FE9" s="149"/>
      <c r="FF9" s="149"/>
      <c r="FG9" s="149"/>
      <c r="FH9" s="149"/>
      <c r="FI9" s="149"/>
      <c r="FJ9" s="149"/>
      <c r="FK9" s="149"/>
      <c r="FL9" s="149"/>
      <c r="FM9" s="149"/>
      <c r="FN9" s="149"/>
      <c r="FO9" s="149"/>
      <c r="FP9" s="149"/>
      <c r="FQ9" s="149"/>
      <c r="FR9" s="149"/>
      <c r="FS9" s="149"/>
      <c r="FT9" s="149"/>
      <c r="FU9" s="149"/>
      <c r="FV9" s="149"/>
      <c r="FW9" s="149"/>
      <c r="FX9" s="149"/>
      <c r="FY9" s="149"/>
      <c r="FZ9" s="149"/>
      <c r="GA9" s="149"/>
      <c r="GB9" s="149"/>
      <c r="GC9" s="149"/>
      <c r="GD9" s="149"/>
      <c r="GE9" s="149"/>
      <c r="GF9" s="149"/>
      <c r="GG9" s="149"/>
      <c r="GH9" s="149"/>
      <c r="GI9" s="149"/>
      <c r="GJ9" s="149"/>
      <c r="GK9" s="149"/>
      <c r="GL9" s="149"/>
      <c r="GM9" s="149"/>
      <c r="GN9" s="149"/>
      <c r="GO9" s="149"/>
      <c r="GP9" s="149"/>
      <c r="GQ9" s="149"/>
      <c r="GR9" s="149"/>
      <c r="GS9" s="149"/>
      <c r="GT9" s="149"/>
      <c r="GU9" s="149"/>
      <c r="GV9" s="149"/>
      <c r="GW9" s="149"/>
      <c r="GX9" s="149"/>
      <c r="GY9" s="149"/>
      <c r="GZ9" s="149"/>
      <c r="HA9" s="149"/>
      <c r="HB9" s="149"/>
      <c r="HC9" s="149"/>
      <c r="HD9" s="149"/>
      <c r="HE9" s="149"/>
      <c r="HF9" s="149"/>
      <c r="HG9" s="149"/>
      <c r="HH9" s="149"/>
      <c r="HI9" s="149"/>
      <c r="HJ9" s="149"/>
      <c r="HK9" s="149"/>
      <c r="HL9" s="149"/>
      <c r="HM9" s="149"/>
      <c r="HN9" s="149"/>
      <c r="HO9" s="149"/>
      <c r="HP9" s="149"/>
      <c r="HQ9" s="149"/>
      <c r="HR9" s="149"/>
      <c r="HS9" s="149"/>
      <c r="HT9" s="149"/>
      <c r="HU9" s="149"/>
      <c r="HV9" s="149"/>
      <c r="HW9" s="149"/>
      <c r="HX9" s="149"/>
      <c r="HY9" s="149"/>
      <c r="HZ9" s="149"/>
      <c r="IA9" s="149"/>
      <c r="IB9" s="149"/>
      <c r="IC9" s="149"/>
      <c r="ID9" s="149"/>
      <c r="IE9" s="149"/>
      <c r="IF9" s="149"/>
      <c r="IG9" s="149"/>
      <c r="IH9" s="149"/>
      <c r="II9" s="149"/>
      <c r="IJ9" s="149"/>
      <c r="IK9" s="149"/>
      <c r="IL9" s="149"/>
      <c r="IM9" s="149"/>
      <c r="IN9" s="149"/>
      <c r="IO9" s="149"/>
      <c r="IP9" s="149"/>
      <c r="IQ9" s="149"/>
      <c r="IR9" s="149"/>
      <c r="IS9" s="149"/>
      <c r="IT9" s="149"/>
      <c r="IU9" s="149"/>
      <c r="IV9" s="149"/>
      <c r="IW9" s="149"/>
      <c r="IX9" s="149"/>
      <c r="IY9" s="149"/>
      <c r="IZ9" s="149"/>
      <c r="JA9" s="149"/>
      <c r="JB9" s="149"/>
      <c r="JC9" s="149"/>
      <c r="JD9" s="149"/>
      <c r="JE9" s="149"/>
      <c r="JF9" s="149"/>
      <c r="JG9" s="149"/>
      <c r="JH9" s="149"/>
      <c r="JI9" s="149"/>
      <c r="JJ9" s="149"/>
      <c r="JK9" s="149"/>
      <c r="JL9" s="149"/>
      <c r="JM9" s="149"/>
      <c r="JN9" s="149"/>
      <c r="JO9" s="149"/>
      <c r="JP9" s="149"/>
      <c r="JQ9" s="149"/>
      <c r="JR9" s="149"/>
      <c r="JS9" s="149"/>
      <c r="JT9" s="149"/>
      <c r="JU9" s="149"/>
      <c r="JV9" s="149"/>
      <c r="JW9" s="149"/>
      <c r="JX9" s="149"/>
      <c r="JY9" s="149"/>
      <c r="JZ9" s="149"/>
      <c r="KA9" s="149"/>
      <c r="KB9" s="149"/>
      <c r="KC9" s="149"/>
      <c r="KD9" s="149"/>
      <c r="KE9" s="149"/>
      <c r="KF9" s="149"/>
      <c r="KG9" s="149"/>
      <c r="KH9" s="149"/>
      <c r="KI9" s="149"/>
      <c r="KJ9" s="149"/>
      <c r="KK9" s="149"/>
      <c r="KL9" s="149"/>
      <c r="KM9" s="149"/>
      <c r="KN9" s="149"/>
      <c r="KO9" s="149"/>
      <c r="KP9" s="149"/>
      <c r="KQ9" s="149"/>
      <c r="KR9" s="149"/>
      <c r="KS9" s="149"/>
      <c r="KT9" s="149"/>
      <c r="KU9" s="149"/>
      <c r="KV9" s="149"/>
      <c r="KW9" s="149"/>
      <c r="KX9" s="149"/>
      <c r="KY9" s="149"/>
      <c r="KZ9" s="149"/>
      <c r="LA9" s="149"/>
      <c r="LB9" s="149"/>
      <c r="LC9" s="149"/>
      <c r="LD9" s="149"/>
      <c r="LE9" s="149"/>
      <c r="LF9" s="149"/>
      <c r="LG9" s="149"/>
      <c r="LH9" s="149"/>
      <c r="LI9" s="149"/>
      <c r="LJ9" s="149"/>
      <c r="LK9" s="149"/>
      <c r="LL9" s="149"/>
      <c r="LM9" s="149"/>
      <c r="LN9" s="149"/>
      <c r="LO9" s="149"/>
      <c r="LP9" s="149"/>
      <c r="LQ9" s="149"/>
      <c r="LR9" s="149"/>
      <c r="LS9" s="149"/>
      <c r="LT9" s="149"/>
      <c r="LU9" s="149"/>
      <c r="LV9" s="149"/>
      <c r="LW9" s="149"/>
      <c r="LX9" s="149"/>
      <c r="LY9" s="149"/>
      <c r="LZ9" s="149"/>
      <c r="MA9" s="149"/>
      <c r="MB9" s="149"/>
      <c r="MC9" s="149"/>
      <c r="MD9" s="149"/>
      <c r="ME9" s="149"/>
      <c r="MF9" s="149"/>
      <c r="MG9" s="149"/>
      <c r="MH9" s="149"/>
      <c r="MI9" s="149"/>
      <c r="MJ9" s="149"/>
      <c r="MK9" s="149"/>
      <c r="ML9" s="149"/>
      <c r="MM9" s="149"/>
      <c r="MN9" s="149"/>
      <c r="MO9" s="149"/>
      <c r="MP9" s="149"/>
      <c r="MQ9" s="149"/>
      <c r="MR9" s="149"/>
      <c r="MS9" s="149"/>
      <c r="MT9" s="149"/>
      <c r="MU9" s="149"/>
      <c r="MV9" s="149"/>
      <c r="MW9" s="149"/>
      <c r="MX9" s="149"/>
      <c r="MY9" s="149"/>
      <c r="MZ9" s="149"/>
      <c r="NA9" s="149"/>
      <c r="NB9" s="149"/>
      <c r="NC9" s="149"/>
      <c r="ND9" s="149"/>
      <c r="NE9" s="149"/>
      <c r="NF9" s="149"/>
      <c r="NG9" s="149"/>
      <c r="NH9" s="149"/>
      <c r="NI9" s="149"/>
      <c r="NJ9" s="149"/>
      <c r="NK9" s="149"/>
      <c r="NL9" s="149"/>
      <c r="NM9" s="149"/>
      <c r="NN9" s="149"/>
      <c r="NO9" s="149"/>
      <c r="NP9" s="149"/>
      <c r="NQ9" s="149"/>
      <c r="NR9" s="149"/>
      <c r="NS9" s="149"/>
      <c r="NT9" s="149"/>
      <c r="NU9" s="149"/>
      <c r="NV9" s="149"/>
      <c r="NW9" s="149"/>
      <c r="NX9" s="149"/>
      <c r="NY9" s="149"/>
      <c r="NZ9" s="149"/>
      <c r="OA9" s="149"/>
      <c r="OB9" s="149"/>
      <c r="OC9" s="149"/>
      <c r="OD9" s="149"/>
      <c r="OE9" s="149"/>
      <c r="OF9" s="149"/>
      <c r="OG9" s="149"/>
      <c r="OH9" s="149"/>
      <c r="OI9" s="149"/>
      <c r="OJ9" s="149"/>
      <c r="OK9" s="149"/>
      <c r="OL9" s="149"/>
      <c r="OM9" s="149"/>
      <c r="ON9" s="149"/>
      <c r="OO9" s="149"/>
      <c r="OP9" s="149"/>
      <c r="OQ9" s="149"/>
      <c r="OR9" s="149"/>
      <c r="OS9" s="149"/>
      <c r="OT9" s="149"/>
      <c r="OU9" s="149"/>
      <c r="OV9" s="149"/>
      <c r="OW9" s="149"/>
      <c r="OX9" s="149"/>
      <c r="OY9" s="149"/>
      <c r="OZ9" s="149"/>
      <c r="PA9" s="149"/>
      <c r="PB9" s="149"/>
      <c r="PC9" s="149"/>
      <c r="PD9" s="149"/>
      <c r="PE9" s="149"/>
      <c r="PF9" s="149"/>
      <c r="PG9" s="149"/>
      <c r="PH9" s="149"/>
      <c r="PI9" s="149"/>
      <c r="PJ9" s="149"/>
      <c r="PK9" s="149"/>
      <c r="PL9" s="149"/>
      <c r="PM9" s="149"/>
      <c r="PN9" s="149"/>
      <c r="PO9" s="149"/>
      <c r="PP9" s="149"/>
      <c r="PQ9" s="149"/>
      <c r="PR9" s="149"/>
      <c r="PS9" s="149"/>
      <c r="PT9" s="149"/>
      <c r="PU9" s="149"/>
      <c r="PV9" s="149"/>
      <c r="PW9" s="149"/>
      <c r="PX9" s="149"/>
      <c r="PY9" s="149"/>
      <c r="PZ9" s="149"/>
      <c r="QA9" s="149"/>
      <c r="QB9" s="149"/>
      <c r="QC9" s="149"/>
      <c r="QD9" s="149"/>
      <c r="QE9" s="149"/>
      <c r="QF9" s="149"/>
      <c r="QG9" s="149"/>
      <c r="QH9" s="149"/>
      <c r="QI9" s="149"/>
      <c r="QJ9" s="149"/>
      <c r="QK9" s="149"/>
      <c r="QL9" s="149"/>
      <c r="QM9" s="149"/>
      <c r="QN9" s="149"/>
      <c r="QO9" s="149"/>
      <c r="QP9" s="149"/>
      <c r="QQ9" s="149"/>
      <c r="QR9" s="149"/>
      <c r="QS9" s="149"/>
      <c r="QT9" s="149"/>
      <c r="QU9" s="149"/>
      <c r="QV9" s="149"/>
      <c r="QW9" s="149"/>
      <c r="QX9" s="149"/>
      <c r="QY9" s="149"/>
      <c r="QZ9" s="149"/>
      <c r="RA9" s="149"/>
      <c r="RB9" s="149"/>
      <c r="RC9" s="149"/>
      <c r="RD9" s="149"/>
      <c r="RE9" s="149"/>
      <c r="RF9" s="149"/>
      <c r="RG9" s="149"/>
      <c r="RH9" s="149"/>
      <c r="RI9" s="149"/>
      <c r="RJ9" s="149"/>
      <c r="RK9" s="149"/>
      <c r="RL9" s="149"/>
      <c r="RM9" s="149"/>
      <c r="RN9" s="149"/>
      <c r="RO9" s="149"/>
      <c r="RP9" s="149"/>
      <c r="RQ9" s="149"/>
      <c r="RR9" s="149"/>
      <c r="RS9" s="149"/>
      <c r="RT9" s="149"/>
      <c r="RU9" s="149"/>
      <c r="RV9" s="149"/>
      <c r="RW9" s="149"/>
      <c r="RX9" s="149"/>
      <c r="RY9" s="149"/>
      <c r="RZ9" s="149"/>
      <c r="SA9" s="149"/>
      <c r="SB9" s="149"/>
      <c r="SC9" s="149"/>
      <c r="SD9" s="149"/>
      <c r="SE9" s="149"/>
      <c r="SF9" s="149"/>
      <c r="SG9" s="149"/>
      <c r="SH9" s="149"/>
      <c r="SI9" s="149"/>
      <c r="SJ9" s="149"/>
      <c r="SK9" s="149"/>
      <c r="SL9" s="149"/>
      <c r="SM9" s="149"/>
      <c r="SN9" s="149"/>
      <c r="SO9" s="149"/>
      <c r="SP9" s="149"/>
      <c r="SQ9" s="149"/>
      <c r="SR9" s="149"/>
      <c r="SS9" s="149"/>
      <c r="ST9" s="149"/>
      <c r="SU9" s="149"/>
      <c r="SV9" s="149"/>
      <c r="SW9" s="149"/>
      <c r="SX9" s="149"/>
      <c r="SY9" s="149"/>
      <c r="SZ9" s="149"/>
      <c r="TA9" s="149"/>
      <c r="TB9" s="149"/>
      <c r="TC9" s="149"/>
      <c r="TD9" s="149"/>
      <c r="TE9" s="149"/>
      <c r="TF9" s="149"/>
      <c r="TG9" s="149"/>
      <c r="TH9" s="149"/>
      <c r="TI9" s="149"/>
      <c r="TJ9" s="149"/>
      <c r="TK9" s="149"/>
      <c r="TL9" s="149"/>
      <c r="TM9" s="149"/>
      <c r="TN9" s="149"/>
      <c r="TO9" s="149"/>
      <c r="TP9" s="149"/>
      <c r="TQ9" s="149"/>
      <c r="TR9" s="149"/>
      <c r="TS9" s="149"/>
      <c r="TT9" s="149"/>
      <c r="TU9" s="149"/>
      <c r="TV9" s="149"/>
      <c r="TW9" s="149"/>
      <c r="TX9" s="149"/>
      <c r="TY9" s="149"/>
      <c r="TZ9" s="149"/>
      <c r="UA9" s="149"/>
      <c r="UB9" s="149"/>
      <c r="UC9" s="149"/>
      <c r="UD9" s="149"/>
      <c r="UE9" s="149"/>
      <c r="UF9" s="149"/>
      <c r="UG9" s="149"/>
      <c r="UH9" s="149"/>
      <c r="UI9" s="149"/>
      <c r="UJ9" s="149"/>
      <c r="UK9" s="149"/>
      <c r="UL9" s="149"/>
      <c r="UM9" s="149"/>
      <c r="UN9" s="149"/>
      <c r="UO9" s="149"/>
      <c r="UP9" s="149"/>
      <c r="UQ9" s="149"/>
      <c r="UR9" s="149"/>
      <c r="US9" s="149"/>
      <c r="UT9" s="149"/>
      <c r="UU9" s="149"/>
      <c r="UV9" s="149"/>
      <c r="UW9" s="149"/>
      <c r="UX9" s="149"/>
      <c r="UY9" s="149"/>
      <c r="UZ9" s="149"/>
      <c r="VA9" s="149"/>
      <c r="VB9" s="149"/>
      <c r="VC9" s="149"/>
      <c r="VD9" s="149"/>
      <c r="VE9" s="149"/>
      <c r="VF9" s="149"/>
      <c r="VG9" s="149"/>
      <c r="VH9" s="149"/>
      <c r="VI9" s="149"/>
      <c r="VJ9" s="149"/>
      <c r="VK9" s="149"/>
      <c r="VL9" s="149"/>
      <c r="VM9" s="149"/>
      <c r="VN9" s="149"/>
      <c r="VO9" s="149"/>
      <c r="VP9" s="149"/>
      <c r="VQ9" s="149"/>
      <c r="VR9" s="149"/>
      <c r="VS9" s="149"/>
      <c r="VT9" s="149"/>
      <c r="VU9" s="149"/>
      <c r="VV9" s="149"/>
      <c r="VW9" s="149"/>
      <c r="VX9" s="149"/>
      <c r="VY9" s="149"/>
      <c r="VZ9" s="149"/>
      <c r="WA9" s="149"/>
      <c r="WB9" s="149"/>
      <c r="WC9" s="149"/>
      <c r="WD9" s="149"/>
      <c r="WE9" s="149"/>
      <c r="WF9" s="149"/>
      <c r="WG9" s="149"/>
    </row>
    <row r="10" spans="1:605" s="122" customFormat="1" ht="16.5" customHeight="1" x14ac:dyDescent="0.15">
      <c r="A10" s="228"/>
      <c r="B10" s="150" t="s">
        <v>434</v>
      </c>
      <c r="C10" s="148" t="s">
        <v>414</v>
      </c>
      <c r="D10" s="151">
        <v>3</v>
      </c>
      <c r="E10" s="151">
        <v>3</v>
      </c>
      <c r="F10" s="151">
        <v>4</v>
      </c>
      <c r="G10" s="151">
        <v>3</v>
      </c>
      <c r="H10" s="151">
        <v>3</v>
      </c>
      <c r="I10" s="151">
        <v>3</v>
      </c>
      <c r="J10" s="151">
        <v>3</v>
      </c>
      <c r="K10" s="151">
        <v>4</v>
      </c>
      <c r="L10" s="151">
        <v>3</v>
      </c>
      <c r="M10" s="151">
        <v>3</v>
      </c>
      <c r="N10" s="151">
        <v>3</v>
      </c>
      <c r="O10" s="151">
        <v>3</v>
      </c>
      <c r="P10" s="151">
        <v>2</v>
      </c>
      <c r="Q10" s="151">
        <v>2</v>
      </c>
      <c r="R10" s="151">
        <v>5</v>
      </c>
      <c r="S10" s="151">
        <v>2</v>
      </c>
      <c r="T10" s="151">
        <v>2</v>
      </c>
      <c r="U10" s="151">
        <v>3</v>
      </c>
      <c r="V10" s="151">
        <v>3</v>
      </c>
      <c r="W10" s="151">
        <v>3</v>
      </c>
      <c r="X10" s="151">
        <v>2</v>
      </c>
      <c r="Y10" s="151">
        <v>3</v>
      </c>
      <c r="Z10" s="151">
        <v>3</v>
      </c>
      <c r="AA10" s="151">
        <v>3</v>
      </c>
      <c r="AB10" s="151"/>
      <c r="AC10" s="151"/>
      <c r="AD10" s="151"/>
      <c r="AE10" s="151"/>
      <c r="AF10" s="151"/>
      <c r="AG10" s="151"/>
      <c r="AH10" s="151"/>
      <c r="AI10" s="151"/>
      <c r="AJ10" s="151"/>
      <c r="AK10" s="151"/>
      <c r="AL10" s="151"/>
      <c r="AM10" s="151"/>
      <c r="AN10" s="151"/>
      <c r="AO10" s="151"/>
      <c r="AP10" s="151"/>
      <c r="AQ10" s="151"/>
      <c r="AR10" s="151"/>
      <c r="AS10" s="151"/>
      <c r="AT10" s="151"/>
      <c r="AU10" s="151"/>
      <c r="AV10" s="151"/>
      <c r="AW10" s="151"/>
      <c r="AX10" s="151"/>
      <c r="AY10" s="151"/>
      <c r="AZ10" s="151"/>
      <c r="BA10" s="151"/>
      <c r="BB10" s="151"/>
      <c r="BC10" s="151"/>
      <c r="BD10" s="151"/>
      <c r="BE10" s="151"/>
      <c r="BF10" s="151"/>
      <c r="BG10" s="151"/>
      <c r="BH10" s="151"/>
      <c r="BI10" s="151"/>
      <c r="BJ10" s="151"/>
      <c r="BK10" s="151"/>
      <c r="BL10" s="151"/>
      <c r="BM10" s="151"/>
      <c r="BN10" s="151"/>
      <c r="BO10" s="151"/>
      <c r="BP10" s="151"/>
      <c r="BQ10" s="151"/>
      <c r="BR10" s="151"/>
      <c r="BS10" s="151"/>
      <c r="BT10" s="151"/>
      <c r="BU10" s="151"/>
      <c r="BV10" s="151"/>
      <c r="BW10" s="151"/>
      <c r="BX10" s="151"/>
      <c r="BY10" s="151"/>
      <c r="BZ10" s="151"/>
      <c r="CA10" s="151"/>
      <c r="CB10" s="151"/>
      <c r="CC10" s="151"/>
      <c r="CD10" s="151"/>
      <c r="CE10" s="151"/>
      <c r="CF10" s="151"/>
      <c r="CG10" s="151"/>
      <c r="CH10" s="151"/>
      <c r="CI10" s="151"/>
      <c r="CJ10" s="151"/>
      <c r="CK10" s="151"/>
      <c r="CL10" s="151"/>
      <c r="CM10" s="151"/>
      <c r="CN10" s="151"/>
      <c r="CO10" s="151"/>
      <c r="CP10" s="151"/>
      <c r="CQ10" s="151"/>
      <c r="CR10" s="151"/>
      <c r="CS10" s="151"/>
      <c r="CT10" s="151"/>
      <c r="CU10" s="151"/>
      <c r="CV10" s="151"/>
      <c r="CW10" s="151"/>
      <c r="CX10" s="151"/>
      <c r="CY10" s="151"/>
      <c r="CZ10" s="151"/>
      <c r="DA10" s="151"/>
      <c r="DB10" s="151"/>
      <c r="DC10" s="151"/>
      <c r="DD10" s="151"/>
      <c r="DE10" s="151"/>
      <c r="DF10" s="151"/>
      <c r="DG10" s="151"/>
      <c r="DH10" s="151"/>
      <c r="DI10" s="151"/>
      <c r="DJ10" s="151"/>
      <c r="DK10" s="151"/>
      <c r="DL10" s="151"/>
      <c r="DM10" s="151"/>
      <c r="DN10" s="151"/>
      <c r="DO10" s="151"/>
      <c r="DP10" s="151"/>
      <c r="DQ10" s="151"/>
      <c r="DR10" s="151"/>
      <c r="DS10" s="151"/>
      <c r="DT10" s="151"/>
      <c r="DU10" s="151"/>
      <c r="DV10" s="151"/>
      <c r="DW10" s="151"/>
      <c r="DX10" s="151"/>
      <c r="DY10" s="151"/>
      <c r="DZ10" s="151"/>
      <c r="EA10" s="151"/>
      <c r="EB10" s="151"/>
      <c r="EC10" s="151"/>
      <c r="ED10" s="151"/>
      <c r="EE10" s="151"/>
      <c r="EF10" s="151"/>
      <c r="EG10" s="151"/>
      <c r="EH10" s="151"/>
      <c r="EI10" s="151"/>
      <c r="EJ10" s="151"/>
      <c r="EK10" s="151"/>
      <c r="EL10" s="151"/>
      <c r="EM10" s="151"/>
      <c r="EN10" s="151"/>
      <c r="EO10" s="151"/>
      <c r="EP10" s="151"/>
      <c r="EQ10" s="151"/>
      <c r="ER10" s="151"/>
      <c r="ES10" s="151"/>
      <c r="ET10" s="151"/>
      <c r="EU10" s="151"/>
      <c r="EV10" s="151"/>
      <c r="EW10" s="151"/>
      <c r="EX10" s="151"/>
      <c r="EY10" s="151"/>
      <c r="EZ10" s="151"/>
      <c r="FA10" s="151"/>
      <c r="FB10" s="151"/>
      <c r="FC10" s="151"/>
      <c r="FD10" s="151"/>
      <c r="FE10" s="151"/>
      <c r="FF10" s="151"/>
      <c r="FG10" s="151"/>
      <c r="FH10" s="151"/>
      <c r="FI10" s="151"/>
      <c r="FJ10" s="151"/>
      <c r="FK10" s="151"/>
      <c r="FL10" s="151"/>
      <c r="FM10" s="151"/>
      <c r="FN10" s="151"/>
      <c r="FO10" s="151"/>
      <c r="FP10" s="151"/>
      <c r="FQ10" s="151"/>
      <c r="FR10" s="151"/>
      <c r="FS10" s="151"/>
      <c r="FT10" s="151"/>
      <c r="FU10" s="151"/>
      <c r="FV10" s="151"/>
      <c r="FW10" s="151"/>
      <c r="FX10" s="151"/>
      <c r="FY10" s="151"/>
      <c r="FZ10" s="151"/>
      <c r="GA10" s="151"/>
      <c r="GB10" s="151"/>
      <c r="GC10" s="151"/>
      <c r="GD10" s="151"/>
      <c r="GE10" s="151"/>
      <c r="GF10" s="151"/>
      <c r="GG10" s="151"/>
      <c r="GH10" s="151"/>
      <c r="GI10" s="151"/>
      <c r="GJ10" s="151"/>
      <c r="GK10" s="151"/>
      <c r="GL10" s="151"/>
      <c r="GM10" s="151"/>
      <c r="GN10" s="151"/>
      <c r="GO10" s="151"/>
      <c r="GP10" s="151"/>
      <c r="GQ10" s="151"/>
      <c r="GR10" s="151"/>
      <c r="GS10" s="151"/>
      <c r="GT10" s="151"/>
      <c r="GU10" s="151"/>
      <c r="GV10" s="151"/>
      <c r="GW10" s="151"/>
      <c r="GX10" s="151"/>
      <c r="GY10" s="151"/>
      <c r="GZ10" s="151"/>
      <c r="HA10" s="151"/>
      <c r="HB10" s="151"/>
      <c r="HC10" s="151"/>
      <c r="HD10" s="151"/>
      <c r="HE10" s="151"/>
      <c r="HF10" s="151"/>
      <c r="HG10" s="151"/>
      <c r="HH10" s="151"/>
      <c r="HI10" s="151"/>
      <c r="HJ10" s="151"/>
      <c r="HK10" s="151"/>
      <c r="HL10" s="151"/>
      <c r="HM10" s="151"/>
      <c r="HN10" s="151"/>
      <c r="HO10" s="151"/>
      <c r="HP10" s="151"/>
      <c r="HQ10" s="151"/>
      <c r="HR10" s="151"/>
      <c r="HS10" s="151"/>
      <c r="HT10" s="151"/>
      <c r="HU10" s="151"/>
      <c r="HV10" s="151"/>
      <c r="HW10" s="151"/>
      <c r="HX10" s="151"/>
      <c r="HY10" s="151"/>
      <c r="HZ10" s="151"/>
      <c r="IA10" s="151"/>
      <c r="IB10" s="151"/>
      <c r="IC10" s="151"/>
      <c r="ID10" s="151"/>
      <c r="IE10" s="151"/>
      <c r="IF10" s="151"/>
      <c r="IG10" s="151"/>
      <c r="IH10" s="151"/>
      <c r="II10" s="151"/>
      <c r="IJ10" s="151"/>
      <c r="IK10" s="151"/>
      <c r="IL10" s="151"/>
      <c r="IM10" s="151"/>
      <c r="IN10" s="151"/>
      <c r="IO10" s="151"/>
      <c r="IP10" s="151"/>
      <c r="IQ10" s="151"/>
      <c r="IR10" s="151"/>
      <c r="IS10" s="151"/>
      <c r="IT10" s="151"/>
      <c r="IU10" s="151"/>
      <c r="IV10" s="151"/>
      <c r="IW10" s="151"/>
      <c r="IX10" s="151"/>
      <c r="IY10" s="151"/>
      <c r="IZ10" s="151"/>
      <c r="JA10" s="151"/>
      <c r="JB10" s="151"/>
      <c r="JC10" s="151"/>
      <c r="JD10" s="151"/>
      <c r="JE10" s="151"/>
      <c r="JF10" s="151"/>
      <c r="JG10" s="151"/>
      <c r="JH10" s="151"/>
      <c r="JI10" s="151"/>
      <c r="JJ10" s="151"/>
      <c r="JK10" s="151"/>
      <c r="JL10" s="151"/>
      <c r="JM10" s="151"/>
      <c r="JN10" s="151"/>
      <c r="JO10" s="151"/>
      <c r="JP10" s="151"/>
      <c r="JQ10" s="151"/>
      <c r="JR10" s="151"/>
      <c r="JS10" s="151"/>
      <c r="JT10" s="151"/>
      <c r="JU10" s="151"/>
      <c r="JV10" s="151"/>
      <c r="JW10" s="151"/>
      <c r="JX10" s="151"/>
      <c r="JY10" s="151"/>
      <c r="JZ10" s="151"/>
      <c r="KA10" s="151"/>
      <c r="KB10" s="151"/>
      <c r="KC10" s="151"/>
      <c r="KD10" s="151"/>
      <c r="KE10" s="151"/>
      <c r="KF10" s="151"/>
      <c r="KG10" s="151"/>
      <c r="KH10" s="151"/>
      <c r="KI10" s="151"/>
      <c r="KJ10" s="151"/>
      <c r="KK10" s="151"/>
      <c r="KL10" s="151"/>
      <c r="KM10" s="151"/>
      <c r="KN10" s="151"/>
      <c r="KO10" s="151"/>
      <c r="KP10" s="151"/>
      <c r="KQ10" s="151"/>
      <c r="KR10" s="151"/>
      <c r="KS10" s="151"/>
      <c r="KT10" s="151"/>
      <c r="KU10" s="151"/>
      <c r="KV10" s="151"/>
      <c r="KW10" s="151"/>
      <c r="KX10" s="151"/>
      <c r="KY10" s="151"/>
      <c r="KZ10" s="151"/>
      <c r="LA10" s="151"/>
      <c r="LB10" s="151"/>
      <c r="LC10" s="151"/>
      <c r="LD10" s="151"/>
      <c r="LE10" s="151"/>
      <c r="LF10" s="151"/>
      <c r="LG10" s="151"/>
      <c r="LH10" s="151"/>
      <c r="LI10" s="151"/>
      <c r="LJ10" s="151"/>
      <c r="LK10" s="151"/>
      <c r="LL10" s="151"/>
      <c r="LM10" s="151"/>
      <c r="LN10" s="151"/>
      <c r="LO10" s="151"/>
      <c r="LP10" s="151"/>
      <c r="LQ10" s="151"/>
      <c r="LR10" s="151"/>
      <c r="LS10" s="151"/>
      <c r="LT10" s="151"/>
      <c r="LU10" s="151"/>
      <c r="LV10" s="151"/>
      <c r="LW10" s="151"/>
      <c r="LX10" s="151"/>
      <c r="LY10" s="151"/>
      <c r="LZ10" s="151"/>
      <c r="MA10" s="151"/>
      <c r="MB10" s="151"/>
      <c r="MC10" s="151"/>
      <c r="MD10" s="151"/>
      <c r="ME10" s="151"/>
      <c r="MF10" s="151"/>
      <c r="MG10" s="151"/>
      <c r="MH10" s="151"/>
      <c r="MI10" s="151"/>
      <c r="MJ10" s="151"/>
      <c r="MK10" s="151"/>
      <c r="ML10" s="151"/>
      <c r="MM10" s="151"/>
      <c r="MN10" s="151"/>
      <c r="MO10" s="151"/>
      <c r="MP10" s="151"/>
      <c r="MQ10" s="151"/>
      <c r="MR10" s="151"/>
      <c r="MS10" s="151"/>
      <c r="MT10" s="151"/>
      <c r="MU10" s="151"/>
      <c r="MV10" s="151"/>
      <c r="MW10" s="151"/>
      <c r="MX10" s="151"/>
      <c r="MY10" s="151"/>
      <c r="MZ10" s="151"/>
      <c r="NA10" s="151"/>
      <c r="NB10" s="151"/>
      <c r="NC10" s="151"/>
      <c r="ND10" s="151"/>
      <c r="NE10" s="151"/>
      <c r="NF10" s="151"/>
      <c r="NG10" s="151"/>
      <c r="NH10" s="151"/>
      <c r="NI10" s="151"/>
      <c r="NJ10" s="151"/>
      <c r="NK10" s="151"/>
      <c r="NL10" s="151"/>
      <c r="NM10" s="151"/>
      <c r="NN10" s="151"/>
      <c r="NO10" s="151"/>
      <c r="NP10" s="151"/>
      <c r="NQ10" s="151"/>
      <c r="NR10" s="151"/>
      <c r="NS10" s="151"/>
      <c r="NT10" s="151"/>
      <c r="NU10" s="151"/>
      <c r="NV10" s="151"/>
      <c r="NW10" s="151"/>
      <c r="NX10" s="151"/>
      <c r="NY10" s="151"/>
      <c r="NZ10" s="151"/>
      <c r="OA10" s="151"/>
      <c r="OB10" s="151"/>
      <c r="OC10" s="151"/>
      <c r="OD10" s="151"/>
      <c r="OE10" s="151"/>
      <c r="OF10" s="151"/>
      <c r="OG10" s="151"/>
      <c r="OH10" s="151"/>
      <c r="OI10" s="151"/>
      <c r="OJ10" s="151"/>
      <c r="OK10" s="151"/>
      <c r="OL10" s="151"/>
      <c r="OM10" s="151"/>
      <c r="ON10" s="151"/>
      <c r="OO10" s="151"/>
      <c r="OP10" s="151"/>
      <c r="OQ10" s="151"/>
      <c r="OR10" s="151"/>
      <c r="OS10" s="151"/>
      <c r="OT10" s="151"/>
      <c r="OU10" s="151"/>
      <c r="OV10" s="151"/>
      <c r="OW10" s="151"/>
      <c r="OX10" s="151"/>
      <c r="OY10" s="151"/>
      <c r="OZ10" s="151"/>
      <c r="PA10" s="151"/>
      <c r="PB10" s="151"/>
      <c r="PC10" s="151"/>
      <c r="PD10" s="151"/>
      <c r="PE10" s="151"/>
      <c r="PF10" s="151"/>
      <c r="PG10" s="151"/>
      <c r="PH10" s="151"/>
      <c r="PI10" s="151"/>
      <c r="PJ10" s="151"/>
      <c r="PK10" s="151"/>
      <c r="PL10" s="151"/>
      <c r="PM10" s="151"/>
      <c r="PN10" s="151"/>
      <c r="PO10" s="151"/>
      <c r="PP10" s="151"/>
      <c r="PQ10" s="151"/>
      <c r="PR10" s="151"/>
      <c r="PS10" s="151"/>
      <c r="PT10" s="151"/>
      <c r="PU10" s="151"/>
      <c r="PV10" s="151"/>
      <c r="PW10" s="151"/>
      <c r="PX10" s="151"/>
      <c r="PY10" s="151"/>
      <c r="PZ10" s="151"/>
      <c r="QA10" s="151"/>
      <c r="QB10" s="151"/>
      <c r="QC10" s="151"/>
      <c r="QD10" s="151"/>
      <c r="QE10" s="151"/>
      <c r="QF10" s="151"/>
      <c r="QG10" s="151"/>
      <c r="QH10" s="151"/>
      <c r="QI10" s="151"/>
      <c r="QJ10" s="151"/>
      <c r="QK10" s="151"/>
      <c r="QL10" s="151"/>
      <c r="QM10" s="151"/>
      <c r="QN10" s="151"/>
      <c r="QO10" s="151"/>
      <c r="QP10" s="151"/>
      <c r="QQ10" s="151"/>
      <c r="QR10" s="151"/>
      <c r="QS10" s="151"/>
      <c r="QT10" s="151"/>
      <c r="QU10" s="151"/>
      <c r="QV10" s="151"/>
      <c r="QW10" s="151"/>
      <c r="QX10" s="151"/>
      <c r="QY10" s="151"/>
      <c r="QZ10" s="151"/>
      <c r="RA10" s="151"/>
      <c r="RB10" s="151"/>
      <c r="RC10" s="151"/>
      <c r="RD10" s="151"/>
      <c r="RE10" s="151"/>
      <c r="RF10" s="151"/>
      <c r="RG10" s="151"/>
      <c r="RH10" s="151"/>
      <c r="RI10" s="151"/>
      <c r="RJ10" s="151"/>
      <c r="RK10" s="151"/>
      <c r="RL10" s="151"/>
      <c r="RM10" s="151"/>
      <c r="RN10" s="151"/>
      <c r="RO10" s="151"/>
      <c r="RP10" s="151"/>
      <c r="RQ10" s="151"/>
      <c r="RR10" s="151"/>
      <c r="RS10" s="151"/>
      <c r="RT10" s="151"/>
      <c r="RU10" s="151"/>
      <c r="RV10" s="151"/>
      <c r="RW10" s="151"/>
      <c r="RX10" s="151"/>
      <c r="RY10" s="151"/>
      <c r="RZ10" s="151"/>
      <c r="SA10" s="151"/>
      <c r="SB10" s="151"/>
      <c r="SC10" s="151"/>
      <c r="SD10" s="151"/>
      <c r="SE10" s="151"/>
      <c r="SF10" s="151"/>
      <c r="SG10" s="151"/>
      <c r="SH10" s="151"/>
      <c r="SI10" s="151"/>
      <c r="SJ10" s="151"/>
      <c r="SK10" s="151"/>
      <c r="SL10" s="151"/>
      <c r="SM10" s="151"/>
      <c r="SN10" s="151"/>
      <c r="SO10" s="151"/>
      <c r="SP10" s="151"/>
      <c r="SQ10" s="151"/>
      <c r="SR10" s="151"/>
      <c r="SS10" s="151"/>
      <c r="ST10" s="151"/>
      <c r="SU10" s="151"/>
      <c r="SV10" s="151"/>
      <c r="SW10" s="151"/>
      <c r="SX10" s="151"/>
      <c r="SY10" s="151"/>
      <c r="SZ10" s="151"/>
      <c r="TA10" s="151"/>
      <c r="TB10" s="151"/>
      <c r="TC10" s="151"/>
      <c r="TD10" s="151"/>
      <c r="TE10" s="151"/>
      <c r="TF10" s="151"/>
      <c r="TG10" s="151"/>
      <c r="TH10" s="151"/>
      <c r="TI10" s="151"/>
      <c r="TJ10" s="151"/>
      <c r="TK10" s="151"/>
      <c r="TL10" s="151"/>
      <c r="TM10" s="151"/>
      <c r="TN10" s="151"/>
      <c r="TO10" s="151"/>
      <c r="TP10" s="151"/>
      <c r="TQ10" s="151"/>
      <c r="TR10" s="151"/>
      <c r="TS10" s="151"/>
      <c r="TT10" s="151"/>
      <c r="TU10" s="151"/>
      <c r="TV10" s="151"/>
      <c r="TW10" s="151"/>
      <c r="TX10" s="151"/>
      <c r="TY10" s="151"/>
      <c r="TZ10" s="151"/>
      <c r="UA10" s="151"/>
      <c r="UB10" s="151"/>
      <c r="UC10" s="151"/>
      <c r="UD10" s="151"/>
      <c r="UE10" s="151"/>
      <c r="UF10" s="151"/>
      <c r="UG10" s="151"/>
      <c r="UH10" s="151"/>
      <c r="UI10" s="151"/>
      <c r="UJ10" s="151"/>
      <c r="UK10" s="151"/>
      <c r="UL10" s="151"/>
      <c r="UM10" s="151"/>
      <c r="UN10" s="151"/>
      <c r="UO10" s="151"/>
      <c r="UP10" s="151"/>
      <c r="UQ10" s="151"/>
      <c r="UR10" s="151"/>
      <c r="US10" s="151"/>
      <c r="UT10" s="151"/>
      <c r="UU10" s="151"/>
      <c r="UV10" s="151"/>
      <c r="UW10" s="151"/>
      <c r="UX10" s="151"/>
      <c r="UY10" s="151"/>
      <c r="UZ10" s="151"/>
      <c r="VA10" s="151"/>
      <c r="VB10" s="151"/>
      <c r="VC10" s="151"/>
      <c r="VD10" s="151"/>
      <c r="VE10" s="151"/>
      <c r="VF10" s="151"/>
      <c r="VG10" s="151"/>
      <c r="VH10" s="151"/>
      <c r="VI10" s="151"/>
      <c r="VJ10" s="151"/>
      <c r="VK10" s="151"/>
      <c r="VL10" s="151"/>
      <c r="VM10" s="151"/>
      <c r="VN10" s="151"/>
      <c r="VO10" s="151"/>
      <c r="VP10" s="151"/>
      <c r="VQ10" s="151"/>
      <c r="VR10" s="151"/>
      <c r="VS10" s="151"/>
      <c r="VT10" s="151"/>
      <c r="VU10" s="151"/>
      <c r="VV10" s="151"/>
      <c r="VW10" s="151"/>
      <c r="VX10" s="151"/>
      <c r="VY10" s="151"/>
      <c r="VZ10" s="151"/>
      <c r="WA10" s="151"/>
      <c r="WB10" s="151"/>
      <c r="WC10" s="151"/>
      <c r="WD10" s="151"/>
      <c r="WE10" s="151"/>
      <c r="WF10" s="151"/>
      <c r="WG10" s="151"/>
    </row>
    <row r="11" spans="1:605" s="122" customFormat="1" ht="15.75" customHeight="1" x14ac:dyDescent="0.15">
      <c r="A11" s="224" t="s">
        <v>407</v>
      </c>
      <c r="B11" s="152" t="s">
        <v>422</v>
      </c>
      <c r="C11" s="153" t="s">
        <v>410</v>
      </c>
      <c r="D11" s="154">
        <v>3</v>
      </c>
      <c r="E11" s="154">
        <v>3</v>
      </c>
      <c r="F11" s="154">
        <v>3</v>
      </c>
      <c r="G11" s="154">
        <v>4</v>
      </c>
      <c r="H11" s="154">
        <v>3</v>
      </c>
      <c r="I11" s="154">
        <v>3</v>
      </c>
      <c r="J11" s="154">
        <v>3</v>
      </c>
      <c r="K11" s="154">
        <v>2</v>
      </c>
      <c r="L11" s="154">
        <v>3</v>
      </c>
      <c r="M11" s="154">
        <v>2</v>
      </c>
      <c r="N11" s="154">
        <v>3</v>
      </c>
      <c r="O11" s="154">
        <v>2</v>
      </c>
      <c r="P11" s="154">
        <v>3</v>
      </c>
      <c r="Q11" s="154">
        <v>4</v>
      </c>
      <c r="R11" s="154">
        <v>0</v>
      </c>
      <c r="S11" s="154">
        <v>4</v>
      </c>
      <c r="T11" s="154">
        <v>3</v>
      </c>
      <c r="U11" s="154">
        <v>4</v>
      </c>
      <c r="V11" s="154">
        <v>4</v>
      </c>
      <c r="W11" s="154">
        <v>3</v>
      </c>
      <c r="X11" s="154">
        <v>4</v>
      </c>
      <c r="Y11" s="154">
        <v>4</v>
      </c>
      <c r="Z11" s="154">
        <v>2</v>
      </c>
      <c r="AA11" s="154">
        <v>3</v>
      </c>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c r="BC11" s="154"/>
      <c r="BD11" s="154"/>
      <c r="BE11" s="154"/>
      <c r="BF11" s="154"/>
      <c r="BG11" s="154"/>
      <c r="BH11" s="154"/>
      <c r="BI11" s="154"/>
      <c r="BJ11" s="154"/>
      <c r="BK11" s="154"/>
      <c r="BL11" s="154"/>
      <c r="BM11" s="154"/>
      <c r="BN11" s="154"/>
      <c r="BO11" s="154"/>
      <c r="BP11" s="154"/>
      <c r="BQ11" s="154"/>
      <c r="BR11" s="154"/>
      <c r="BS11" s="154"/>
      <c r="BT11" s="154"/>
      <c r="BU11" s="154"/>
      <c r="BV11" s="154"/>
      <c r="BW11" s="154"/>
      <c r="BX11" s="154"/>
      <c r="BY11" s="154"/>
      <c r="BZ11" s="154"/>
      <c r="CA11" s="154"/>
      <c r="CB11" s="154"/>
      <c r="CC11" s="154"/>
      <c r="CD11" s="154"/>
      <c r="CE11" s="154"/>
      <c r="CF11" s="154"/>
      <c r="CG11" s="154"/>
      <c r="CH11" s="154"/>
      <c r="CI11" s="154"/>
      <c r="CJ11" s="154"/>
      <c r="CK11" s="154"/>
      <c r="CL11" s="154"/>
      <c r="CM11" s="154"/>
      <c r="CN11" s="154"/>
      <c r="CO11" s="154"/>
      <c r="CP11" s="154"/>
      <c r="CQ11" s="154"/>
      <c r="CR11" s="154"/>
      <c r="CS11" s="154"/>
      <c r="CT11" s="154"/>
      <c r="CU11" s="154"/>
      <c r="CV11" s="154"/>
      <c r="CW11" s="154"/>
      <c r="CX11" s="154"/>
      <c r="CY11" s="154"/>
      <c r="CZ11" s="154"/>
      <c r="DA11" s="154"/>
      <c r="DB11" s="154"/>
      <c r="DC11" s="154"/>
      <c r="DD11" s="154"/>
      <c r="DE11" s="154"/>
      <c r="DF11" s="154"/>
      <c r="DG11" s="154"/>
      <c r="DH11" s="154"/>
      <c r="DI11" s="154"/>
      <c r="DJ11" s="154"/>
      <c r="DK11" s="154"/>
      <c r="DL11" s="154"/>
      <c r="DM11" s="154"/>
      <c r="DN11" s="154"/>
      <c r="DO11" s="154"/>
      <c r="DP11" s="154"/>
      <c r="DQ11" s="154"/>
      <c r="DR11" s="154"/>
      <c r="DS11" s="154"/>
      <c r="DT11" s="154"/>
      <c r="DU11" s="154"/>
      <c r="DV11" s="154"/>
      <c r="DW11" s="154"/>
      <c r="DX11" s="154"/>
      <c r="DY11" s="154"/>
      <c r="DZ11" s="154"/>
      <c r="EA11" s="154"/>
      <c r="EB11" s="154"/>
      <c r="EC11" s="154"/>
      <c r="ED11" s="154"/>
      <c r="EE11" s="154"/>
      <c r="EF11" s="154"/>
      <c r="EG11" s="154"/>
      <c r="EH11" s="154"/>
      <c r="EI11" s="154"/>
      <c r="EJ11" s="154"/>
      <c r="EK11" s="154"/>
      <c r="EL11" s="154"/>
      <c r="EM11" s="154"/>
      <c r="EN11" s="154"/>
      <c r="EO11" s="154"/>
      <c r="EP11" s="154"/>
      <c r="EQ11" s="154"/>
      <c r="ER11" s="154"/>
      <c r="ES11" s="154"/>
      <c r="ET11" s="154"/>
      <c r="EU11" s="154"/>
      <c r="EV11" s="154"/>
      <c r="EW11" s="154"/>
      <c r="EX11" s="154"/>
      <c r="EY11" s="154"/>
      <c r="EZ11" s="154"/>
      <c r="FA11" s="154"/>
      <c r="FB11" s="154"/>
      <c r="FC11" s="154"/>
      <c r="FD11" s="154"/>
      <c r="FE11" s="154"/>
      <c r="FF11" s="154"/>
      <c r="FG11" s="154"/>
      <c r="FH11" s="154"/>
      <c r="FI11" s="154"/>
      <c r="FJ11" s="154"/>
      <c r="FK11" s="154"/>
      <c r="FL11" s="154"/>
      <c r="FM11" s="154"/>
      <c r="FN11" s="154"/>
      <c r="FO11" s="154"/>
      <c r="FP11" s="154"/>
      <c r="FQ11" s="154"/>
      <c r="FR11" s="154"/>
      <c r="FS11" s="154"/>
      <c r="FT11" s="154"/>
      <c r="FU11" s="154"/>
      <c r="FV11" s="154"/>
      <c r="FW11" s="154"/>
      <c r="FX11" s="154"/>
      <c r="FY11" s="154"/>
      <c r="FZ11" s="154"/>
      <c r="GA11" s="154"/>
      <c r="GB11" s="154"/>
      <c r="GC11" s="154"/>
      <c r="GD11" s="154"/>
      <c r="GE11" s="154"/>
      <c r="GF11" s="154"/>
      <c r="GG11" s="154"/>
      <c r="GH11" s="154"/>
      <c r="GI11" s="154"/>
      <c r="GJ11" s="154"/>
      <c r="GK11" s="154"/>
      <c r="GL11" s="154"/>
      <c r="GM11" s="154"/>
      <c r="GN11" s="154"/>
      <c r="GO11" s="154"/>
      <c r="GP11" s="154"/>
      <c r="GQ11" s="154"/>
      <c r="GR11" s="154"/>
      <c r="GS11" s="154"/>
      <c r="GT11" s="154"/>
      <c r="GU11" s="154"/>
      <c r="GV11" s="154"/>
      <c r="GW11" s="154"/>
      <c r="GX11" s="154"/>
      <c r="GY11" s="154"/>
      <c r="GZ11" s="154"/>
      <c r="HA11" s="154"/>
      <c r="HB11" s="154"/>
      <c r="HC11" s="154"/>
      <c r="HD11" s="154"/>
      <c r="HE11" s="154"/>
      <c r="HF11" s="154"/>
      <c r="HG11" s="154"/>
      <c r="HH11" s="154"/>
      <c r="HI11" s="154"/>
      <c r="HJ11" s="154"/>
      <c r="HK11" s="154"/>
      <c r="HL11" s="154"/>
      <c r="HM11" s="154"/>
      <c r="HN11" s="154"/>
      <c r="HO11" s="154"/>
      <c r="HP11" s="154"/>
      <c r="HQ11" s="154"/>
      <c r="HR11" s="154"/>
      <c r="HS11" s="154"/>
      <c r="HT11" s="154"/>
      <c r="HU11" s="154"/>
      <c r="HV11" s="154"/>
      <c r="HW11" s="154"/>
      <c r="HX11" s="154"/>
      <c r="HY11" s="154"/>
      <c r="HZ11" s="154"/>
      <c r="IA11" s="154"/>
      <c r="IB11" s="154"/>
      <c r="IC11" s="154"/>
      <c r="ID11" s="154"/>
      <c r="IE11" s="154"/>
      <c r="IF11" s="154"/>
      <c r="IG11" s="154"/>
      <c r="IH11" s="154"/>
      <c r="II11" s="154"/>
      <c r="IJ11" s="154"/>
      <c r="IK11" s="154"/>
      <c r="IL11" s="154"/>
      <c r="IM11" s="154"/>
      <c r="IN11" s="154"/>
      <c r="IO11" s="154"/>
      <c r="IP11" s="154"/>
      <c r="IQ11" s="154"/>
      <c r="IR11" s="154"/>
      <c r="IS11" s="154"/>
      <c r="IT11" s="154"/>
      <c r="IU11" s="154"/>
      <c r="IV11" s="154"/>
      <c r="IW11" s="154"/>
      <c r="IX11" s="154"/>
      <c r="IY11" s="154"/>
      <c r="IZ11" s="154"/>
      <c r="JA11" s="154"/>
      <c r="JB11" s="154"/>
      <c r="JC11" s="154"/>
      <c r="JD11" s="154"/>
      <c r="JE11" s="154"/>
      <c r="JF11" s="154"/>
      <c r="JG11" s="154"/>
      <c r="JH11" s="154"/>
      <c r="JI11" s="154"/>
      <c r="JJ11" s="154"/>
      <c r="JK11" s="154"/>
      <c r="JL11" s="154"/>
      <c r="JM11" s="154"/>
      <c r="JN11" s="154"/>
      <c r="JO11" s="154"/>
      <c r="JP11" s="154"/>
      <c r="JQ11" s="154"/>
      <c r="JR11" s="154"/>
      <c r="JS11" s="154"/>
      <c r="JT11" s="154"/>
      <c r="JU11" s="154"/>
      <c r="JV11" s="154"/>
      <c r="JW11" s="154"/>
      <c r="JX11" s="154"/>
      <c r="JY11" s="154"/>
      <c r="JZ11" s="154"/>
      <c r="KA11" s="154"/>
      <c r="KB11" s="154"/>
      <c r="KC11" s="154"/>
      <c r="KD11" s="154"/>
      <c r="KE11" s="154"/>
      <c r="KF11" s="154"/>
      <c r="KG11" s="154"/>
      <c r="KH11" s="154"/>
      <c r="KI11" s="154"/>
      <c r="KJ11" s="154"/>
      <c r="KK11" s="154"/>
      <c r="KL11" s="154"/>
      <c r="KM11" s="154"/>
      <c r="KN11" s="154"/>
      <c r="KO11" s="154"/>
      <c r="KP11" s="154"/>
      <c r="KQ11" s="154"/>
      <c r="KR11" s="154"/>
      <c r="KS11" s="154"/>
      <c r="KT11" s="154"/>
      <c r="KU11" s="154"/>
      <c r="KV11" s="154"/>
      <c r="KW11" s="154"/>
      <c r="KX11" s="154"/>
      <c r="KY11" s="154"/>
      <c r="KZ11" s="154"/>
      <c r="LA11" s="154"/>
      <c r="LB11" s="154"/>
      <c r="LC11" s="154"/>
      <c r="LD11" s="154"/>
      <c r="LE11" s="154"/>
      <c r="LF11" s="154"/>
      <c r="LG11" s="154"/>
      <c r="LH11" s="154"/>
      <c r="LI11" s="154"/>
      <c r="LJ11" s="154"/>
      <c r="LK11" s="154"/>
      <c r="LL11" s="154"/>
      <c r="LM11" s="154"/>
      <c r="LN11" s="154"/>
      <c r="LO11" s="154"/>
      <c r="LP11" s="154"/>
      <c r="LQ11" s="154"/>
      <c r="LR11" s="154"/>
      <c r="LS11" s="154"/>
      <c r="LT11" s="154"/>
      <c r="LU11" s="154"/>
      <c r="LV11" s="154"/>
      <c r="LW11" s="154"/>
      <c r="LX11" s="154"/>
      <c r="LY11" s="154"/>
      <c r="LZ11" s="154"/>
      <c r="MA11" s="154"/>
      <c r="MB11" s="154"/>
      <c r="MC11" s="154"/>
      <c r="MD11" s="154"/>
      <c r="ME11" s="154"/>
      <c r="MF11" s="154"/>
      <c r="MG11" s="154"/>
      <c r="MH11" s="154"/>
      <c r="MI11" s="154"/>
      <c r="MJ11" s="154"/>
      <c r="MK11" s="154"/>
      <c r="ML11" s="154"/>
      <c r="MM11" s="154"/>
      <c r="MN11" s="154"/>
      <c r="MO11" s="154"/>
      <c r="MP11" s="154"/>
      <c r="MQ11" s="154"/>
      <c r="MR11" s="154"/>
      <c r="MS11" s="154"/>
      <c r="MT11" s="154"/>
      <c r="MU11" s="154"/>
      <c r="MV11" s="154"/>
      <c r="MW11" s="154"/>
      <c r="MX11" s="154"/>
      <c r="MY11" s="154"/>
      <c r="MZ11" s="154"/>
      <c r="NA11" s="154"/>
      <c r="NB11" s="154"/>
      <c r="NC11" s="154"/>
      <c r="ND11" s="154"/>
      <c r="NE11" s="154"/>
      <c r="NF11" s="154"/>
      <c r="NG11" s="154"/>
      <c r="NH11" s="154"/>
      <c r="NI11" s="154"/>
      <c r="NJ11" s="154"/>
      <c r="NK11" s="154"/>
      <c r="NL11" s="154"/>
      <c r="NM11" s="154"/>
      <c r="NN11" s="154"/>
      <c r="NO11" s="154"/>
      <c r="NP11" s="154"/>
      <c r="NQ11" s="154"/>
      <c r="NR11" s="154"/>
      <c r="NS11" s="154"/>
      <c r="NT11" s="154"/>
      <c r="NU11" s="154"/>
      <c r="NV11" s="154"/>
      <c r="NW11" s="154"/>
      <c r="NX11" s="154"/>
      <c r="NY11" s="154"/>
      <c r="NZ11" s="154"/>
      <c r="OA11" s="154"/>
      <c r="OB11" s="154"/>
      <c r="OC11" s="154"/>
      <c r="OD11" s="154"/>
      <c r="OE11" s="154"/>
      <c r="OF11" s="154"/>
      <c r="OG11" s="154"/>
      <c r="OH11" s="154"/>
      <c r="OI11" s="154"/>
      <c r="OJ11" s="154"/>
      <c r="OK11" s="154"/>
      <c r="OL11" s="154"/>
      <c r="OM11" s="154"/>
      <c r="ON11" s="154"/>
      <c r="OO11" s="154"/>
      <c r="OP11" s="154"/>
      <c r="OQ11" s="154"/>
      <c r="OR11" s="154"/>
      <c r="OS11" s="154"/>
      <c r="OT11" s="154"/>
      <c r="OU11" s="154"/>
      <c r="OV11" s="154"/>
      <c r="OW11" s="154"/>
      <c r="OX11" s="154"/>
      <c r="OY11" s="154"/>
      <c r="OZ11" s="154"/>
      <c r="PA11" s="154"/>
      <c r="PB11" s="154"/>
      <c r="PC11" s="154"/>
      <c r="PD11" s="154"/>
      <c r="PE11" s="154"/>
      <c r="PF11" s="154"/>
      <c r="PG11" s="154"/>
      <c r="PH11" s="154"/>
      <c r="PI11" s="154"/>
      <c r="PJ11" s="154"/>
      <c r="PK11" s="154"/>
      <c r="PL11" s="154"/>
      <c r="PM11" s="154"/>
      <c r="PN11" s="154"/>
      <c r="PO11" s="154"/>
      <c r="PP11" s="154"/>
      <c r="PQ11" s="154"/>
      <c r="PR11" s="154"/>
      <c r="PS11" s="154"/>
      <c r="PT11" s="154"/>
      <c r="PU11" s="154"/>
      <c r="PV11" s="154"/>
      <c r="PW11" s="154"/>
      <c r="PX11" s="154"/>
      <c r="PY11" s="154"/>
      <c r="PZ11" s="154"/>
      <c r="QA11" s="154"/>
      <c r="QB11" s="154"/>
      <c r="QC11" s="154"/>
      <c r="QD11" s="154"/>
      <c r="QE11" s="154"/>
      <c r="QF11" s="154"/>
      <c r="QG11" s="154"/>
      <c r="QH11" s="154"/>
      <c r="QI11" s="154"/>
      <c r="QJ11" s="154"/>
      <c r="QK11" s="154"/>
      <c r="QL11" s="154"/>
      <c r="QM11" s="154"/>
      <c r="QN11" s="154"/>
      <c r="QO11" s="154"/>
      <c r="QP11" s="154"/>
      <c r="QQ11" s="154"/>
      <c r="QR11" s="154"/>
      <c r="QS11" s="154"/>
      <c r="QT11" s="154"/>
      <c r="QU11" s="154"/>
      <c r="QV11" s="154"/>
      <c r="QW11" s="154"/>
      <c r="QX11" s="154"/>
      <c r="QY11" s="154"/>
      <c r="QZ11" s="154"/>
      <c r="RA11" s="154"/>
      <c r="RB11" s="154"/>
      <c r="RC11" s="154"/>
      <c r="RD11" s="154"/>
      <c r="RE11" s="154"/>
      <c r="RF11" s="154"/>
      <c r="RG11" s="154"/>
      <c r="RH11" s="154"/>
      <c r="RI11" s="154"/>
      <c r="RJ11" s="154"/>
      <c r="RK11" s="154"/>
      <c r="RL11" s="154"/>
      <c r="RM11" s="154"/>
      <c r="RN11" s="154"/>
      <c r="RO11" s="154"/>
      <c r="RP11" s="154"/>
      <c r="RQ11" s="154"/>
      <c r="RR11" s="154"/>
      <c r="RS11" s="154"/>
      <c r="RT11" s="154"/>
      <c r="RU11" s="154"/>
      <c r="RV11" s="154"/>
      <c r="RW11" s="154"/>
      <c r="RX11" s="154"/>
      <c r="RY11" s="154"/>
      <c r="RZ11" s="154"/>
      <c r="SA11" s="154"/>
      <c r="SB11" s="154"/>
      <c r="SC11" s="154"/>
      <c r="SD11" s="154"/>
      <c r="SE11" s="154"/>
      <c r="SF11" s="154"/>
      <c r="SG11" s="154"/>
      <c r="SH11" s="154"/>
      <c r="SI11" s="154"/>
      <c r="SJ11" s="154"/>
      <c r="SK11" s="154"/>
      <c r="SL11" s="154"/>
      <c r="SM11" s="154"/>
      <c r="SN11" s="154"/>
      <c r="SO11" s="154"/>
      <c r="SP11" s="154"/>
      <c r="SQ11" s="154"/>
      <c r="SR11" s="154"/>
      <c r="SS11" s="154"/>
      <c r="ST11" s="154"/>
      <c r="SU11" s="154"/>
      <c r="SV11" s="154"/>
      <c r="SW11" s="154"/>
      <c r="SX11" s="154"/>
      <c r="SY11" s="154"/>
      <c r="SZ11" s="154"/>
      <c r="TA11" s="154"/>
      <c r="TB11" s="154"/>
      <c r="TC11" s="154"/>
      <c r="TD11" s="154"/>
      <c r="TE11" s="154"/>
      <c r="TF11" s="154"/>
      <c r="TG11" s="154"/>
      <c r="TH11" s="154"/>
      <c r="TI11" s="154"/>
      <c r="TJ11" s="154"/>
      <c r="TK11" s="154"/>
      <c r="TL11" s="154"/>
      <c r="TM11" s="154"/>
      <c r="TN11" s="154"/>
      <c r="TO11" s="154"/>
      <c r="TP11" s="154"/>
      <c r="TQ11" s="154"/>
      <c r="TR11" s="154"/>
      <c r="TS11" s="154"/>
      <c r="TT11" s="154"/>
      <c r="TU11" s="154"/>
      <c r="TV11" s="154"/>
      <c r="TW11" s="154"/>
      <c r="TX11" s="154"/>
      <c r="TY11" s="154"/>
      <c r="TZ11" s="154"/>
      <c r="UA11" s="154"/>
      <c r="UB11" s="154"/>
      <c r="UC11" s="154"/>
      <c r="UD11" s="154"/>
      <c r="UE11" s="154"/>
      <c r="UF11" s="154"/>
      <c r="UG11" s="154"/>
      <c r="UH11" s="154"/>
      <c r="UI11" s="154"/>
      <c r="UJ11" s="154"/>
      <c r="UK11" s="154"/>
      <c r="UL11" s="154"/>
      <c r="UM11" s="154"/>
      <c r="UN11" s="154"/>
      <c r="UO11" s="154"/>
      <c r="UP11" s="154"/>
      <c r="UQ11" s="154"/>
      <c r="UR11" s="154"/>
      <c r="US11" s="154"/>
      <c r="UT11" s="154"/>
      <c r="UU11" s="154"/>
      <c r="UV11" s="154"/>
      <c r="UW11" s="154"/>
      <c r="UX11" s="154"/>
      <c r="UY11" s="154"/>
      <c r="UZ11" s="154"/>
      <c r="VA11" s="154"/>
      <c r="VB11" s="154"/>
      <c r="VC11" s="154"/>
      <c r="VD11" s="154"/>
      <c r="VE11" s="154"/>
      <c r="VF11" s="154"/>
      <c r="VG11" s="154"/>
      <c r="VH11" s="154"/>
      <c r="VI11" s="154"/>
      <c r="VJ11" s="154"/>
      <c r="VK11" s="154"/>
      <c r="VL11" s="154"/>
      <c r="VM11" s="154"/>
      <c r="VN11" s="154"/>
      <c r="VO11" s="154"/>
      <c r="VP11" s="154"/>
      <c r="VQ11" s="154"/>
      <c r="VR11" s="154"/>
      <c r="VS11" s="154"/>
      <c r="VT11" s="154"/>
      <c r="VU11" s="154"/>
      <c r="VV11" s="154"/>
      <c r="VW11" s="154"/>
      <c r="VX11" s="154"/>
      <c r="VY11" s="154"/>
      <c r="VZ11" s="154"/>
      <c r="WA11" s="154"/>
      <c r="WB11" s="154"/>
      <c r="WC11" s="154"/>
      <c r="WD11" s="154"/>
      <c r="WE11" s="154"/>
      <c r="WF11" s="154"/>
      <c r="WG11" s="154"/>
    </row>
    <row r="12" spans="1:605" s="123" customFormat="1" ht="16.5" customHeight="1" x14ac:dyDescent="0.25">
      <c r="A12" s="224"/>
      <c r="B12" s="155" t="s">
        <v>423</v>
      </c>
      <c r="C12" s="156"/>
      <c r="D12" s="157" t="s">
        <v>451</v>
      </c>
      <c r="E12" s="157" t="s">
        <v>444</v>
      </c>
      <c r="F12" s="157" t="s">
        <v>451</v>
      </c>
      <c r="G12" s="157" t="s">
        <v>451</v>
      </c>
      <c r="H12" s="157" t="s">
        <v>451</v>
      </c>
      <c r="I12" s="157" t="s">
        <v>451</v>
      </c>
      <c r="J12" s="157" t="s">
        <v>451</v>
      </c>
      <c r="K12" s="157"/>
      <c r="L12" s="157"/>
      <c r="M12" s="157"/>
      <c r="N12" s="157"/>
      <c r="O12" s="157"/>
      <c r="P12" s="157"/>
      <c r="Q12" s="157"/>
      <c r="R12" s="157"/>
      <c r="S12" s="157"/>
      <c r="T12" s="157" t="s">
        <v>472</v>
      </c>
      <c r="U12" s="157" t="s">
        <v>451</v>
      </c>
      <c r="V12" s="157" t="s">
        <v>477</v>
      </c>
      <c r="W12" s="157"/>
      <c r="X12" s="157" t="s">
        <v>451</v>
      </c>
      <c r="Y12" s="157" t="s">
        <v>481</v>
      </c>
      <c r="Z12" s="157" t="s">
        <v>481</v>
      </c>
      <c r="AA12" s="157"/>
      <c r="AB12" s="157"/>
      <c r="AC12" s="157"/>
      <c r="AD12" s="157"/>
      <c r="AE12" s="157"/>
      <c r="AF12" s="157"/>
      <c r="AG12" s="157"/>
      <c r="AH12" s="157"/>
      <c r="AI12" s="157"/>
      <c r="AJ12" s="157"/>
      <c r="AK12" s="157"/>
      <c r="AL12" s="157"/>
      <c r="AM12" s="157"/>
      <c r="AN12" s="157"/>
      <c r="AO12" s="157"/>
      <c r="AP12" s="157"/>
      <c r="AQ12" s="157"/>
      <c r="AR12" s="157"/>
      <c r="AS12" s="157"/>
      <c r="AT12" s="157"/>
      <c r="AU12" s="157"/>
      <c r="AV12" s="157"/>
      <c r="AW12" s="157"/>
      <c r="AX12" s="157"/>
      <c r="AY12" s="157"/>
      <c r="AZ12" s="157"/>
      <c r="BA12" s="157"/>
      <c r="BB12" s="157"/>
      <c r="BC12" s="157"/>
      <c r="BD12" s="157"/>
      <c r="BE12" s="157"/>
      <c r="BF12" s="157"/>
      <c r="BG12" s="157"/>
      <c r="BH12" s="157"/>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57"/>
      <c r="CE12" s="157"/>
      <c r="CF12" s="157"/>
      <c r="CG12" s="157"/>
      <c r="CH12" s="157"/>
      <c r="CI12" s="157"/>
      <c r="CJ12" s="157"/>
      <c r="CK12" s="157"/>
      <c r="CL12" s="157"/>
      <c r="CM12" s="157"/>
      <c r="CN12" s="157"/>
      <c r="CO12" s="157"/>
      <c r="CP12" s="157"/>
      <c r="CQ12" s="157"/>
      <c r="CR12" s="157"/>
      <c r="CS12" s="157"/>
      <c r="CT12" s="157"/>
      <c r="CU12" s="157"/>
      <c r="CV12" s="157"/>
      <c r="CW12" s="157"/>
      <c r="CX12" s="157"/>
      <c r="CY12" s="157"/>
      <c r="CZ12" s="157"/>
      <c r="DA12" s="157"/>
      <c r="DB12" s="157"/>
      <c r="DC12" s="157"/>
      <c r="DD12" s="157"/>
      <c r="DE12" s="157"/>
      <c r="DF12" s="157"/>
      <c r="DG12" s="157"/>
      <c r="DH12" s="157"/>
      <c r="DI12" s="157"/>
      <c r="DJ12" s="157"/>
      <c r="DK12" s="157"/>
      <c r="DL12" s="157"/>
      <c r="DM12" s="157"/>
      <c r="DN12" s="157"/>
      <c r="DO12" s="157"/>
      <c r="DP12" s="157"/>
      <c r="DQ12" s="157"/>
      <c r="DR12" s="157"/>
      <c r="DS12" s="157"/>
      <c r="DT12" s="157"/>
      <c r="DU12" s="157"/>
      <c r="DV12" s="157"/>
      <c r="DW12" s="157"/>
      <c r="DX12" s="157"/>
      <c r="DY12" s="157"/>
      <c r="DZ12" s="157"/>
      <c r="EA12" s="157"/>
      <c r="EB12" s="157"/>
      <c r="EC12" s="157"/>
      <c r="ED12" s="157"/>
      <c r="EE12" s="157"/>
      <c r="EF12" s="157"/>
      <c r="EG12" s="157"/>
      <c r="EH12" s="157"/>
      <c r="EI12" s="157"/>
      <c r="EJ12" s="157"/>
      <c r="EK12" s="157"/>
      <c r="EL12" s="157"/>
      <c r="EM12" s="157"/>
      <c r="EN12" s="157"/>
      <c r="EO12" s="157"/>
      <c r="EP12" s="157"/>
      <c r="EQ12" s="157"/>
      <c r="ER12" s="157"/>
      <c r="ES12" s="157"/>
      <c r="ET12" s="157"/>
      <c r="EU12" s="157"/>
      <c r="EV12" s="157"/>
      <c r="EW12" s="157"/>
      <c r="EX12" s="157"/>
      <c r="EY12" s="157"/>
      <c r="EZ12" s="157"/>
      <c r="FA12" s="157"/>
      <c r="FB12" s="157"/>
      <c r="FC12" s="157"/>
      <c r="FD12" s="157"/>
      <c r="FE12" s="157"/>
      <c r="FF12" s="157"/>
      <c r="FG12" s="157"/>
      <c r="FH12" s="157"/>
      <c r="FI12" s="157"/>
      <c r="FJ12" s="157"/>
      <c r="FK12" s="157"/>
      <c r="FL12" s="157"/>
      <c r="FM12" s="157"/>
      <c r="FN12" s="157"/>
      <c r="FO12" s="157"/>
      <c r="FP12" s="157"/>
      <c r="FQ12" s="157"/>
      <c r="FR12" s="157"/>
      <c r="FS12" s="157"/>
      <c r="FT12" s="157"/>
      <c r="FU12" s="157"/>
      <c r="FV12" s="157"/>
      <c r="FW12" s="157"/>
      <c r="FX12" s="157"/>
      <c r="FY12" s="157"/>
      <c r="FZ12" s="157"/>
      <c r="GA12" s="157"/>
      <c r="GB12" s="157"/>
      <c r="GC12" s="157"/>
      <c r="GD12" s="157"/>
      <c r="GE12" s="157"/>
      <c r="GF12" s="157"/>
      <c r="GG12" s="157"/>
      <c r="GH12" s="157"/>
      <c r="GI12" s="157"/>
      <c r="GJ12" s="157"/>
      <c r="GK12" s="157"/>
      <c r="GL12" s="157"/>
      <c r="GM12" s="157"/>
      <c r="GN12" s="157"/>
      <c r="GO12" s="157"/>
      <c r="GP12" s="157"/>
      <c r="GQ12" s="157"/>
      <c r="GR12" s="157"/>
      <c r="GS12" s="157"/>
      <c r="GT12" s="157"/>
      <c r="GU12" s="157"/>
      <c r="GV12" s="157"/>
      <c r="GW12" s="157"/>
      <c r="GX12" s="157"/>
      <c r="GY12" s="157"/>
      <c r="GZ12" s="157"/>
      <c r="HA12" s="157"/>
      <c r="HB12" s="157"/>
      <c r="HC12" s="157"/>
      <c r="HD12" s="157"/>
      <c r="HE12" s="157"/>
      <c r="HF12" s="157"/>
      <c r="HG12" s="157"/>
      <c r="HH12" s="157"/>
      <c r="HI12" s="157"/>
      <c r="HJ12" s="157"/>
      <c r="HK12" s="157"/>
      <c r="HL12" s="157"/>
      <c r="HM12" s="157"/>
      <c r="HN12" s="157"/>
      <c r="HO12" s="157"/>
      <c r="HP12" s="157"/>
      <c r="HQ12" s="157"/>
      <c r="HR12" s="157"/>
      <c r="HS12" s="157"/>
      <c r="HT12" s="157"/>
      <c r="HU12" s="157"/>
      <c r="HV12" s="157"/>
      <c r="HW12" s="157"/>
      <c r="HX12" s="157"/>
      <c r="HY12" s="157"/>
      <c r="HZ12" s="157"/>
      <c r="IA12" s="157"/>
      <c r="IB12" s="157"/>
      <c r="IC12" s="157"/>
      <c r="ID12" s="157"/>
      <c r="IE12" s="157"/>
      <c r="IF12" s="157"/>
      <c r="IG12" s="157"/>
      <c r="IH12" s="157"/>
      <c r="II12" s="157"/>
      <c r="IJ12" s="157"/>
      <c r="IK12" s="157"/>
      <c r="IL12" s="157"/>
      <c r="IM12" s="157"/>
      <c r="IN12" s="157"/>
      <c r="IO12" s="157"/>
      <c r="IP12" s="157"/>
      <c r="IQ12" s="157"/>
      <c r="IR12" s="157"/>
      <c r="IS12" s="157"/>
      <c r="IT12" s="157"/>
      <c r="IU12" s="157"/>
      <c r="IV12" s="157"/>
      <c r="IW12" s="157"/>
      <c r="IX12" s="157"/>
      <c r="IY12" s="157"/>
      <c r="IZ12" s="157"/>
      <c r="JA12" s="157"/>
      <c r="JB12" s="157"/>
      <c r="JC12" s="157"/>
      <c r="JD12" s="157"/>
      <c r="JE12" s="157"/>
      <c r="JF12" s="157"/>
      <c r="JG12" s="157"/>
      <c r="JH12" s="157"/>
      <c r="JI12" s="157"/>
      <c r="JJ12" s="157"/>
      <c r="JK12" s="157"/>
      <c r="JL12" s="157"/>
      <c r="JM12" s="157"/>
      <c r="JN12" s="157"/>
      <c r="JO12" s="157"/>
      <c r="JP12" s="157"/>
      <c r="JQ12" s="157"/>
      <c r="JR12" s="157"/>
      <c r="JS12" s="157"/>
      <c r="JT12" s="157"/>
      <c r="JU12" s="157"/>
      <c r="JV12" s="157"/>
      <c r="JW12" s="157"/>
      <c r="JX12" s="157"/>
      <c r="JY12" s="157"/>
      <c r="JZ12" s="157"/>
      <c r="KA12" s="157"/>
      <c r="KB12" s="157"/>
      <c r="KC12" s="157"/>
      <c r="KD12" s="157"/>
      <c r="KE12" s="157"/>
      <c r="KF12" s="157"/>
      <c r="KG12" s="157"/>
      <c r="KH12" s="157"/>
      <c r="KI12" s="157"/>
      <c r="KJ12" s="157"/>
      <c r="KK12" s="157"/>
      <c r="KL12" s="157"/>
      <c r="KM12" s="157"/>
      <c r="KN12" s="157"/>
      <c r="KO12" s="157"/>
      <c r="KP12" s="157"/>
      <c r="KQ12" s="157"/>
      <c r="KR12" s="157"/>
      <c r="KS12" s="157"/>
      <c r="KT12" s="157"/>
      <c r="KU12" s="157"/>
      <c r="KV12" s="157"/>
      <c r="KW12" s="157"/>
      <c r="KX12" s="157"/>
      <c r="KY12" s="157"/>
      <c r="KZ12" s="157"/>
      <c r="LA12" s="157"/>
      <c r="LB12" s="157"/>
      <c r="LC12" s="157"/>
      <c r="LD12" s="157"/>
      <c r="LE12" s="157"/>
      <c r="LF12" s="157"/>
      <c r="LG12" s="157"/>
      <c r="LH12" s="157"/>
      <c r="LI12" s="157"/>
      <c r="LJ12" s="157"/>
      <c r="LK12" s="157"/>
      <c r="LL12" s="157"/>
      <c r="LM12" s="157"/>
      <c r="LN12" s="157"/>
      <c r="LO12" s="157"/>
      <c r="LP12" s="157"/>
      <c r="LQ12" s="157"/>
      <c r="LR12" s="157"/>
      <c r="LS12" s="157"/>
      <c r="LT12" s="157"/>
      <c r="LU12" s="157"/>
      <c r="LV12" s="157"/>
      <c r="LW12" s="157"/>
      <c r="LX12" s="157"/>
      <c r="LY12" s="157"/>
      <c r="LZ12" s="157"/>
      <c r="MA12" s="157"/>
      <c r="MB12" s="157"/>
      <c r="MC12" s="157"/>
      <c r="MD12" s="157"/>
      <c r="ME12" s="157"/>
      <c r="MF12" s="157"/>
      <c r="MG12" s="157"/>
      <c r="MH12" s="157"/>
      <c r="MI12" s="157"/>
      <c r="MJ12" s="157"/>
      <c r="MK12" s="157"/>
      <c r="ML12" s="157"/>
      <c r="MM12" s="157"/>
      <c r="MN12" s="157"/>
      <c r="MO12" s="157"/>
      <c r="MP12" s="157"/>
      <c r="MQ12" s="157"/>
      <c r="MR12" s="157"/>
      <c r="MS12" s="157"/>
      <c r="MT12" s="157"/>
      <c r="MU12" s="157"/>
      <c r="MV12" s="157"/>
      <c r="MW12" s="157"/>
      <c r="MX12" s="157"/>
      <c r="MY12" s="157"/>
      <c r="MZ12" s="157"/>
      <c r="NA12" s="157"/>
      <c r="NB12" s="157"/>
      <c r="NC12" s="157"/>
      <c r="ND12" s="157"/>
      <c r="NE12" s="157"/>
      <c r="NF12" s="157"/>
      <c r="NG12" s="157"/>
      <c r="NH12" s="157"/>
      <c r="NI12" s="157"/>
      <c r="NJ12" s="157"/>
      <c r="NK12" s="157"/>
      <c r="NL12" s="157"/>
      <c r="NM12" s="157"/>
      <c r="NN12" s="157"/>
      <c r="NO12" s="157"/>
      <c r="NP12" s="157"/>
      <c r="NQ12" s="157"/>
      <c r="NR12" s="157"/>
      <c r="NS12" s="157"/>
      <c r="NT12" s="157"/>
      <c r="NU12" s="157"/>
      <c r="NV12" s="157"/>
      <c r="NW12" s="157"/>
      <c r="NX12" s="157"/>
      <c r="NY12" s="157"/>
      <c r="NZ12" s="157"/>
      <c r="OA12" s="157"/>
      <c r="OB12" s="157"/>
      <c r="OC12" s="157"/>
      <c r="OD12" s="157"/>
      <c r="OE12" s="157"/>
      <c r="OF12" s="157"/>
      <c r="OG12" s="157"/>
      <c r="OH12" s="157"/>
      <c r="OI12" s="157"/>
      <c r="OJ12" s="157"/>
      <c r="OK12" s="157"/>
      <c r="OL12" s="157"/>
      <c r="OM12" s="157"/>
      <c r="ON12" s="157"/>
      <c r="OO12" s="157"/>
      <c r="OP12" s="157"/>
      <c r="OQ12" s="157"/>
      <c r="OR12" s="157"/>
      <c r="OS12" s="157"/>
      <c r="OT12" s="157"/>
      <c r="OU12" s="157"/>
      <c r="OV12" s="157"/>
      <c r="OW12" s="157"/>
      <c r="OX12" s="157"/>
      <c r="OY12" s="157"/>
      <c r="OZ12" s="157"/>
      <c r="PA12" s="157"/>
      <c r="PB12" s="157"/>
      <c r="PC12" s="157"/>
      <c r="PD12" s="157"/>
      <c r="PE12" s="157"/>
      <c r="PF12" s="157"/>
      <c r="PG12" s="157"/>
      <c r="PH12" s="157"/>
      <c r="PI12" s="157"/>
      <c r="PJ12" s="157"/>
      <c r="PK12" s="157"/>
      <c r="PL12" s="157"/>
      <c r="PM12" s="157"/>
      <c r="PN12" s="157"/>
      <c r="PO12" s="157"/>
      <c r="PP12" s="157"/>
      <c r="PQ12" s="157"/>
      <c r="PR12" s="157"/>
      <c r="PS12" s="157"/>
      <c r="PT12" s="157"/>
      <c r="PU12" s="157"/>
      <c r="PV12" s="157"/>
      <c r="PW12" s="157"/>
      <c r="PX12" s="157"/>
      <c r="PY12" s="157"/>
      <c r="PZ12" s="157"/>
      <c r="QA12" s="157"/>
      <c r="QB12" s="157"/>
      <c r="QC12" s="157"/>
      <c r="QD12" s="157"/>
      <c r="QE12" s="157"/>
      <c r="QF12" s="157"/>
      <c r="QG12" s="157"/>
      <c r="QH12" s="157"/>
      <c r="QI12" s="157"/>
      <c r="QJ12" s="157"/>
      <c r="QK12" s="157"/>
      <c r="QL12" s="157"/>
      <c r="QM12" s="157"/>
      <c r="QN12" s="157"/>
      <c r="QO12" s="157"/>
      <c r="QP12" s="157"/>
      <c r="QQ12" s="157"/>
      <c r="QR12" s="157"/>
      <c r="QS12" s="157"/>
      <c r="QT12" s="157"/>
      <c r="QU12" s="157"/>
      <c r="QV12" s="157"/>
      <c r="QW12" s="157"/>
      <c r="QX12" s="157"/>
      <c r="QY12" s="157"/>
      <c r="QZ12" s="157"/>
      <c r="RA12" s="157"/>
      <c r="RB12" s="157"/>
      <c r="RC12" s="157"/>
      <c r="RD12" s="157"/>
      <c r="RE12" s="157"/>
      <c r="RF12" s="157"/>
      <c r="RG12" s="157"/>
      <c r="RH12" s="157"/>
      <c r="RI12" s="157"/>
      <c r="RJ12" s="157"/>
      <c r="RK12" s="157"/>
      <c r="RL12" s="157"/>
      <c r="RM12" s="157"/>
      <c r="RN12" s="157"/>
      <c r="RO12" s="157"/>
      <c r="RP12" s="157"/>
      <c r="RQ12" s="157"/>
      <c r="RR12" s="157"/>
      <c r="RS12" s="157"/>
      <c r="RT12" s="157"/>
      <c r="RU12" s="157"/>
      <c r="RV12" s="157"/>
      <c r="RW12" s="157"/>
      <c r="RX12" s="157"/>
      <c r="RY12" s="157"/>
      <c r="RZ12" s="157"/>
      <c r="SA12" s="157"/>
      <c r="SB12" s="157"/>
      <c r="SC12" s="157"/>
      <c r="SD12" s="157"/>
      <c r="SE12" s="157"/>
      <c r="SF12" s="157"/>
      <c r="SG12" s="157"/>
      <c r="SH12" s="157"/>
      <c r="SI12" s="157"/>
      <c r="SJ12" s="157"/>
      <c r="SK12" s="157"/>
      <c r="SL12" s="157"/>
      <c r="SM12" s="157"/>
      <c r="SN12" s="157"/>
      <c r="SO12" s="157"/>
      <c r="SP12" s="157"/>
      <c r="SQ12" s="157"/>
      <c r="SR12" s="157"/>
      <c r="SS12" s="157"/>
      <c r="ST12" s="157"/>
      <c r="SU12" s="157"/>
      <c r="SV12" s="157"/>
      <c r="SW12" s="157"/>
      <c r="SX12" s="157"/>
      <c r="SY12" s="157"/>
      <c r="SZ12" s="157"/>
      <c r="TA12" s="157"/>
      <c r="TB12" s="157"/>
      <c r="TC12" s="157"/>
      <c r="TD12" s="157"/>
      <c r="TE12" s="157"/>
      <c r="TF12" s="157"/>
      <c r="TG12" s="157"/>
      <c r="TH12" s="157"/>
      <c r="TI12" s="157"/>
      <c r="TJ12" s="157"/>
      <c r="TK12" s="157"/>
      <c r="TL12" s="157"/>
      <c r="TM12" s="157"/>
      <c r="TN12" s="157"/>
      <c r="TO12" s="157"/>
      <c r="TP12" s="157"/>
      <c r="TQ12" s="157"/>
      <c r="TR12" s="157"/>
      <c r="TS12" s="157"/>
      <c r="TT12" s="157"/>
      <c r="TU12" s="157"/>
      <c r="TV12" s="157"/>
      <c r="TW12" s="157"/>
      <c r="TX12" s="157"/>
      <c r="TY12" s="157"/>
      <c r="TZ12" s="157"/>
      <c r="UA12" s="157"/>
      <c r="UB12" s="157"/>
      <c r="UC12" s="157"/>
      <c r="UD12" s="157"/>
      <c r="UE12" s="157"/>
      <c r="UF12" s="157"/>
      <c r="UG12" s="157"/>
      <c r="UH12" s="157"/>
      <c r="UI12" s="157"/>
      <c r="UJ12" s="157"/>
      <c r="UK12" s="157"/>
      <c r="UL12" s="157"/>
      <c r="UM12" s="157"/>
      <c r="UN12" s="157"/>
      <c r="UO12" s="157"/>
      <c r="UP12" s="157"/>
      <c r="UQ12" s="157"/>
      <c r="UR12" s="157"/>
      <c r="US12" s="157"/>
      <c r="UT12" s="157"/>
      <c r="UU12" s="157"/>
      <c r="UV12" s="157"/>
      <c r="UW12" s="157"/>
      <c r="UX12" s="157"/>
      <c r="UY12" s="157"/>
      <c r="UZ12" s="157"/>
      <c r="VA12" s="157"/>
      <c r="VB12" s="157"/>
      <c r="VC12" s="157"/>
      <c r="VD12" s="157"/>
      <c r="VE12" s="157"/>
      <c r="VF12" s="157"/>
      <c r="VG12" s="157"/>
      <c r="VH12" s="157"/>
      <c r="VI12" s="157"/>
      <c r="VJ12" s="157"/>
      <c r="VK12" s="157"/>
      <c r="VL12" s="157"/>
      <c r="VM12" s="157"/>
      <c r="VN12" s="157"/>
      <c r="VO12" s="157"/>
      <c r="VP12" s="157"/>
      <c r="VQ12" s="157"/>
      <c r="VR12" s="157"/>
      <c r="VS12" s="157"/>
      <c r="VT12" s="157"/>
      <c r="VU12" s="157"/>
      <c r="VV12" s="157"/>
      <c r="VW12" s="157"/>
      <c r="VX12" s="157"/>
      <c r="VY12" s="157"/>
      <c r="VZ12" s="157"/>
      <c r="WA12" s="157"/>
      <c r="WB12" s="157"/>
      <c r="WC12" s="157"/>
      <c r="WD12" s="157"/>
      <c r="WE12" s="157"/>
      <c r="WF12" s="157"/>
      <c r="WG12" s="157"/>
    </row>
    <row r="13" spans="1:605" s="122" customFormat="1" ht="16.5" customHeight="1" x14ac:dyDescent="0.15">
      <c r="A13" s="224"/>
      <c r="B13" s="158" t="s">
        <v>315</v>
      </c>
      <c r="C13" s="159" t="s">
        <v>410</v>
      </c>
      <c r="D13" s="160">
        <v>3</v>
      </c>
      <c r="E13" s="160">
        <v>2</v>
      </c>
      <c r="F13" s="160">
        <v>2</v>
      </c>
      <c r="G13" s="160">
        <v>4</v>
      </c>
      <c r="H13" s="160">
        <v>3</v>
      </c>
      <c r="I13" s="160">
        <v>4</v>
      </c>
      <c r="J13" s="160">
        <v>3</v>
      </c>
      <c r="K13" s="160">
        <v>2</v>
      </c>
      <c r="L13" s="160">
        <v>2</v>
      </c>
      <c r="M13" s="160">
        <v>3</v>
      </c>
      <c r="N13" s="160">
        <v>3</v>
      </c>
      <c r="O13" s="160">
        <v>2</v>
      </c>
      <c r="P13" s="160">
        <v>2</v>
      </c>
      <c r="Q13" s="160">
        <v>3</v>
      </c>
      <c r="R13" s="160">
        <v>0</v>
      </c>
      <c r="S13" s="160">
        <v>4</v>
      </c>
      <c r="T13" s="160">
        <v>3</v>
      </c>
      <c r="U13" s="160">
        <v>3</v>
      </c>
      <c r="V13" s="160">
        <v>4</v>
      </c>
      <c r="W13" s="160">
        <v>3</v>
      </c>
      <c r="X13" s="160">
        <v>4</v>
      </c>
      <c r="Y13" s="160">
        <v>4</v>
      </c>
      <c r="Z13" s="160">
        <v>2</v>
      </c>
      <c r="AA13" s="160">
        <v>2</v>
      </c>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c r="CM13" s="160"/>
      <c r="CN13" s="160"/>
      <c r="CO13" s="160"/>
      <c r="CP13" s="160"/>
      <c r="CQ13" s="160"/>
      <c r="CR13" s="160"/>
      <c r="CS13" s="160"/>
      <c r="CT13" s="160"/>
      <c r="CU13" s="160"/>
      <c r="CV13" s="160"/>
      <c r="CW13" s="160"/>
      <c r="CX13" s="160"/>
      <c r="CY13" s="160"/>
      <c r="CZ13" s="160"/>
      <c r="DA13" s="160"/>
      <c r="DB13" s="160"/>
      <c r="DC13" s="160"/>
      <c r="DD13" s="160"/>
      <c r="DE13" s="160"/>
      <c r="DF13" s="160"/>
      <c r="DG13" s="160"/>
      <c r="DH13" s="160"/>
      <c r="DI13" s="160"/>
      <c r="DJ13" s="160"/>
      <c r="DK13" s="160"/>
      <c r="DL13" s="160"/>
      <c r="DM13" s="160"/>
      <c r="DN13" s="160"/>
      <c r="DO13" s="160"/>
      <c r="DP13" s="160"/>
      <c r="DQ13" s="160"/>
      <c r="DR13" s="160"/>
      <c r="DS13" s="160"/>
      <c r="DT13" s="160"/>
      <c r="DU13" s="160"/>
      <c r="DV13" s="160"/>
      <c r="DW13" s="160"/>
      <c r="DX13" s="160"/>
      <c r="DY13" s="160"/>
      <c r="DZ13" s="160"/>
      <c r="EA13" s="160"/>
      <c r="EB13" s="160"/>
      <c r="EC13" s="160"/>
      <c r="ED13" s="160"/>
      <c r="EE13" s="160"/>
      <c r="EF13" s="160"/>
      <c r="EG13" s="160"/>
      <c r="EH13" s="160"/>
      <c r="EI13" s="160"/>
      <c r="EJ13" s="160"/>
      <c r="EK13" s="160"/>
      <c r="EL13" s="160"/>
      <c r="EM13" s="160"/>
      <c r="EN13" s="160"/>
      <c r="EO13" s="160"/>
      <c r="EP13" s="160"/>
      <c r="EQ13" s="160"/>
      <c r="ER13" s="160"/>
      <c r="ES13" s="160"/>
      <c r="ET13" s="160"/>
      <c r="EU13" s="160"/>
      <c r="EV13" s="160"/>
      <c r="EW13" s="160"/>
      <c r="EX13" s="160"/>
      <c r="EY13" s="160"/>
      <c r="EZ13" s="160"/>
      <c r="FA13" s="160"/>
      <c r="FB13" s="160"/>
      <c r="FC13" s="160"/>
      <c r="FD13" s="160"/>
      <c r="FE13" s="160"/>
      <c r="FF13" s="160"/>
      <c r="FG13" s="160"/>
      <c r="FH13" s="160"/>
      <c r="FI13" s="160"/>
      <c r="FJ13" s="160"/>
      <c r="FK13" s="160"/>
      <c r="FL13" s="160"/>
      <c r="FM13" s="160"/>
      <c r="FN13" s="160"/>
      <c r="FO13" s="160"/>
      <c r="FP13" s="160"/>
      <c r="FQ13" s="160"/>
      <c r="FR13" s="160"/>
      <c r="FS13" s="160"/>
      <c r="FT13" s="160"/>
      <c r="FU13" s="160"/>
      <c r="FV13" s="160"/>
      <c r="FW13" s="160"/>
      <c r="FX13" s="160"/>
      <c r="FY13" s="160"/>
      <c r="FZ13" s="160"/>
      <c r="GA13" s="160"/>
      <c r="GB13" s="160"/>
      <c r="GC13" s="160"/>
      <c r="GD13" s="160"/>
      <c r="GE13" s="160"/>
      <c r="GF13" s="160"/>
      <c r="GG13" s="160"/>
      <c r="GH13" s="160"/>
      <c r="GI13" s="160"/>
      <c r="GJ13" s="160"/>
      <c r="GK13" s="160"/>
      <c r="GL13" s="160"/>
      <c r="GM13" s="160"/>
      <c r="GN13" s="160"/>
      <c r="GO13" s="160"/>
      <c r="GP13" s="160"/>
      <c r="GQ13" s="160"/>
      <c r="GR13" s="160"/>
      <c r="GS13" s="160"/>
      <c r="GT13" s="160"/>
      <c r="GU13" s="160"/>
      <c r="GV13" s="160"/>
      <c r="GW13" s="160"/>
      <c r="GX13" s="160"/>
      <c r="GY13" s="160"/>
      <c r="GZ13" s="160"/>
      <c r="HA13" s="160"/>
      <c r="HB13" s="160"/>
      <c r="HC13" s="160"/>
      <c r="HD13" s="160"/>
      <c r="HE13" s="160"/>
      <c r="HF13" s="160"/>
      <c r="HG13" s="160"/>
      <c r="HH13" s="160"/>
      <c r="HI13" s="160"/>
      <c r="HJ13" s="160"/>
      <c r="HK13" s="160"/>
      <c r="HL13" s="160"/>
      <c r="HM13" s="160"/>
      <c r="HN13" s="160"/>
      <c r="HO13" s="160"/>
      <c r="HP13" s="160"/>
      <c r="HQ13" s="160"/>
      <c r="HR13" s="160"/>
      <c r="HS13" s="160"/>
      <c r="HT13" s="160"/>
      <c r="HU13" s="160"/>
      <c r="HV13" s="160"/>
      <c r="HW13" s="160"/>
      <c r="HX13" s="160"/>
      <c r="HY13" s="160"/>
      <c r="HZ13" s="160"/>
      <c r="IA13" s="160"/>
      <c r="IB13" s="160"/>
      <c r="IC13" s="160"/>
      <c r="ID13" s="160"/>
      <c r="IE13" s="160"/>
      <c r="IF13" s="160"/>
      <c r="IG13" s="160"/>
      <c r="IH13" s="160"/>
      <c r="II13" s="160"/>
      <c r="IJ13" s="160"/>
      <c r="IK13" s="160"/>
      <c r="IL13" s="160"/>
      <c r="IM13" s="160"/>
      <c r="IN13" s="160"/>
      <c r="IO13" s="160"/>
      <c r="IP13" s="160"/>
      <c r="IQ13" s="160"/>
      <c r="IR13" s="160"/>
      <c r="IS13" s="160"/>
      <c r="IT13" s="160"/>
      <c r="IU13" s="160"/>
      <c r="IV13" s="160"/>
      <c r="IW13" s="160"/>
      <c r="IX13" s="160"/>
      <c r="IY13" s="160"/>
      <c r="IZ13" s="160"/>
      <c r="JA13" s="160"/>
      <c r="JB13" s="160"/>
      <c r="JC13" s="160"/>
      <c r="JD13" s="160"/>
      <c r="JE13" s="160"/>
      <c r="JF13" s="160"/>
      <c r="JG13" s="160"/>
      <c r="JH13" s="160"/>
      <c r="JI13" s="160"/>
      <c r="JJ13" s="160"/>
      <c r="JK13" s="160"/>
      <c r="JL13" s="160"/>
      <c r="JM13" s="160"/>
      <c r="JN13" s="160"/>
      <c r="JO13" s="160"/>
      <c r="JP13" s="160"/>
      <c r="JQ13" s="160"/>
      <c r="JR13" s="160"/>
      <c r="JS13" s="160"/>
      <c r="JT13" s="160"/>
      <c r="JU13" s="160"/>
      <c r="JV13" s="160"/>
      <c r="JW13" s="160"/>
      <c r="JX13" s="160"/>
      <c r="JY13" s="160"/>
      <c r="JZ13" s="160"/>
      <c r="KA13" s="160"/>
      <c r="KB13" s="160"/>
      <c r="KC13" s="160"/>
      <c r="KD13" s="160"/>
      <c r="KE13" s="160"/>
      <c r="KF13" s="160"/>
      <c r="KG13" s="160"/>
      <c r="KH13" s="160"/>
      <c r="KI13" s="160"/>
      <c r="KJ13" s="160"/>
      <c r="KK13" s="160"/>
      <c r="KL13" s="160"/>
      <c r="KM13" s="160"/>
      <c r="KN13" s="160"/>
      <c r="KO13" s="160"/>
      <c r="KP13" s="160"/>
      <c r="KQ13" s="160"/>
      <c r="KR13" s="160"/>
      <c r="KS13" s="160"/>
      <c r="KT13" s="160"/>
      <c r="KU13" s="160"/>
      <c r="KV13" s="160"/>
      <c r="KW13" s="160"/>
      <c r="KX13" s="160"/>
      <c r="KY13" s="160"/>
      <c r="KZ13" s="160"/>
      <c r="LA13" s="160"/>
      <c r="LB13" s="160"/>
      <c r="LC13" s="160"/>
      <c r="LD13" s="160"/>
      <c r="LE13" s="160"/>
      <c r="LF13" s="160"/>
      <c r="LG13" s="160"/>
      <c r="LH13" s="160"/>
      <c r="LI13" s="160"/>
      <c r="LJ13" s="160"/>
      <c r="LK13" s="160"/>
      <c r="LL13" s="160"/>
      <c r="LM13" s="160"/>
      <c r="LN13" s="160"/>
      <c r="LO13" s="160"/>
      <c r="LP13" s="160"/>
      <c r="LQ13" s="160"/>
      <c r="LR13" s="160"/>
      <c r="LS13" s="160"/>
      <c r="LT13" s="160"/>
      <c r="LU13" s="160"/>
      <c r="LV13" s="160"/>
      <c r="LW13" s="160"/>
      <c r="LX13" s="160"/>
      <c r="LY13" s="160"/>
      <c r="LZ13" s="160"/>
      <c r="MA13" s="160"/>
      <c r="MB13" s="160"/>
      <c r="MC13" s="160"/>
      <c r="MD13" s="160"/>
      <c r="ME13" s="160"/>
      <c r="MF13" s="160"/>
      <c r="MG13" s="160"/>
      <c r="MH13" s="160"/>
      <c r="MI13" s="160"/>
      <c r="MJ13" s="160"/>
      <c r="MK13" s="160"/>
      <c r="ML13" s="160"/>
      <c r="MM13" s="160"/>
      <c r="MN13" s="160"/>
      <c r="MO13" s="160"/>
      <c r="MP13" s="160"/>
      <c r="MQ13" s="160"/>
      <c r="MR13" s="160"/>
      <c r="MS13" s="160"/>
      <c r="MT13" s="160"/>
      <c r="MU13" s="160"/>
      <c r="MV13" s="160"/>
      <c r="MW13" s="160"/>
      <c r="MX13" s="160"/>
      <c r="MY13" s="160"/>
      <c r="MZ13" s="160"/>
      <c r="NA13" s="160"/>
      <c r="NB13" s="160"/>
      <c r="NC13" s="160"/>
      <c r="ND13" s="160"/>
      <c r="NE13" s="160"/>
      <c r="NF13" s="160"/>
      <c r="NG13" s="160"/>
      <c r="NH13" s="160"/>
      <c r="NI13" s="160"/>
      <c r="NJ13" s="160"/>
      <c r="NK13" s="160"/>
      <c r="NL13" s="160"/>
      <c r="NM13" s="160"/>
      <c r="NN13" s="160"/>
      <c r="NO13" s="160"/>
      <c r="NP13" s="160"/>
      <c r="NQ13" s="160"/>
      <c r="NR13" s="160"/>
      <c r="NS13" s="160"/>
      <c r="NT13" s="160"/>
      <c r="NU13" s="160"/>
      <c r="NV13" s="160"/>
      <c r="NW13" s="160"/>
      <c r="NX13" s="160"/>
      <c r="NY13" s="160"/>
      <c r="NZ13" s="160"/>
      <c r="OA13" s="160"/>
      <c r="OB13" s="160"/>
      <c r="OC13" s="160"/>
      <c r="OD13" s="160"/>
      <c r="OE13" s="160"/>
      <c r="OF13" s="160"/>
      <c r="OG13" s="160"/>
      <c r="OH13" s="160"/>
      <c r="OI13" s="160"/>
      <c r="OJ13" s="160"/>
      <c r="OK13" s="160"/>
      <c r="OL13" s="160"/>
      <c r="OM13" s="160"/>
      <c r="ON13" s="160"/>
      <c r="OO13" s="160"/>
      <c r="OP13" s="160"/>
      <c r="OQ13" s="160"/>
      <c r="OR13" s="160"/>
      <c r="OS13" s="160"/>
      <c r="OT13" s="160"/>
      <c r="OU13" s="160"/>
      <c r="OV13" s="160"/>
      <c r="OW13" s="160"/>
      <c r="OX13" s="160"/>
      <c r="OY13" s="160"/>
      <c r="OZ13" s="160"/>
      <c r="PA13" s="160"/>
      <c r="PB13" s="160"/>
      <c r="PC13" s="160"/>
      <c r="PD13" s="160"/>
      <c r="PE13" s="160"/>
      <c r="PF13" s="160"/>
      <c r="PG13" s="160"/>
      <c r="PH13" s="160"/>
      <c r="PI13" s="160"/>
      <c r="PJ13" s="160"/>
      <c r="PK13" s="160"/>
      <c r="PL13" s="160"/>
      <c r="PM13" s="160"/>
      <c r="PN13" s="160"/>
      <c r="PO13" s="160"/>
      <c r="PP13" s="160"/>
      <c r="PQ13" s="160"/>
      <c r="PR13" s="160"/>
      <c r="PS13" s="160"/>
      <c r="PT13" s="160"/>
      <c r="PU13" s="160"/>
      <c r="PV13" s="160"/>
      <c r="PW13" s="160"/>
      <c r="PX13" s="160"/>
      <c r="PY13" s="160"/>
      <c r="PZ13" s="160"/>
      <c r="QA13" s="160"/>
      <c r="QB13" s="160"/>
      <c r="QC13" s="160"/>
      <c r="QD13" s="160"/>
      <c r="QE13" s="160"/>
      <c r="QF13" s="160"/>
      <c r="QG13" s="160"/>
      <c r="QH13" s="160"/>
      <c r="QI13" s="160"/>
      <c r="QJ13" s="160"/>
      <c r="QK13" s="160"/>
      <c r="QL13" s="160"/>
      <c r="QM13" s="160"/>
      <c r="QN13" s="160"/>
      <c r="QO13" s="160"/>
      <c r="QP13" s="160"/>
      <c r="QQ13" s="160"/>
      <c r="QR13" s="160"/>
      <c r="QS13" s="160"/>
      <c r="QT13" s="160"/>
      <c r="QU13" s="160"/>
      <c r="QV13" s="160"/>
      <c r="QW13" s="160"/>
      <c r="QX13" s="160"/>
      <c r="QY13" s="160"/>
      <c r="QZ13" s="160"/>
      <c r="RA13" s="160"/>
      <c r="RB13" s="160"/>
      <c r="RC13" s="160"/>
      <c r="RD13" s="160"/>
      <c r="RE13" s="160"/>
      <c r="RF13" s="160"/>
      <c r="RG13" s="160"/>
      <c r="RH13" s="160"/>
      <c r="RI13" s="160"/>
      <c r="RJ13" s="160"/>
      <c r="RK13" s="160"/>
      <c r="RL13" s="160"/>
      <c r="RM13" s="160"/>
      <c r="RN13" s="160"/>
      <c r="RO13" s="160"/>
      <c r="RP13" s="160"/>
      <c r="RQ13" s="160"/>
      <c r="RR13" s="160"/>
      <c r="RS13" s="160"/>
      <c r="RT13" s="160"/>
      <c r="RU13" s="160"/>
      <c r="RV13" s="160"/>
      <c r="RW13" s="160"/>
      <c r="RX13" s="160"/>
      <c r="RY13" s="160"/>
      <c r="RZ13" s="160"/>
      <c r="SA13" s="160"/>
      <c r="SB13" s="160"/>
      <c r="SC13" s="160"/>
      <c r="SD13" s="160"/>
      <c r="SE13" s="160"/>
      <c r="SF13" s="160"/>
      <c r="SG13" s="160"/>
      <c r="SH13" s="160"/>
      <c r="SI13" s="160"/>
      <c r="SJ13" s="160"/>
      <c r="SK13" s="160"/>
      <c r="SL13" s="160"/>
      <c r="SM13" s="160"/>
      <c r="SN13" s="160"/>
      <c r="SO13" s="160"/>
      <c r="SP13" s="160"/>
      <c r="SQ13" s="160"/>
      <c r="SR13" s="160"/>
      <c r="SS13" s="160"/>
      <c r="ST13" s="160"/>
      <c r="SU13" s="160"/>
      <c r="SV13" s="160"/>
      <c r="SW13" s="160"/>
      <c r="SX13" s="160"/>
      <c r="SY13" s="160"/>
      <c r="SZ13" s="160"/>
      <c r="TA13" s="160"/>
      <c r="TB13" s="160"/>
      <c r="TC13" s="160"/>
      <c r="TD13" s="160"/>
      <c r="TE13" s="160"/>
      <c r="TF13" s="160"/>
      <c r="TG13" s="160"/>
      <c r="TH13" s="160"/>
      <c r="TI13" s="160"/>
      <c r="TJ13" s="160"/>
      <c r="TK13" s="160"/>
      <c r="TL13" s="160"/>
      <c r="TM13" s="160"/>
      <c r="TN13" s="160"/>
      <c r="TO13" s="160"/>
      <c r="TP13" s="160"/>
      <c r="TQ13" s="160"/>
      <c r="TR13" s="160"/>
      <c r="TS13" s="160"/>
      <c r="TT13" s="160"/>
      <c r="TU13" s="160"/>
      <c r="TV13" s="160"/>
      <c r="TW13" s="160"/>
      <c r="TX13" s="160"/>
      <c r="TY13" s="160"/>
      <c r="TZ13" s="160"/>
      <c r="UA13" s="160"/>
      <c r="UB13" s="160"/>
      <c r="UC13" s="160"/>
      <c r="UD13" s="160"/>
      <c r="UE13" s="160"/>
      <c r="UF13" s="160"/>
      <c r="UG13" s="160"/>
      <c r="UH13" s="160"/>
      <c r="UI13" s="160"/>
      <c r="UJ13" s="160"/>
      <c r="UK13" s="160"/>
      <c r="UL13" s="160"/>
      <c r="UM13" s="160"/>
      <c r="UN13" s="160"/>
      <c r="UO13" s="160"/>
      <c r="UP13" s="160"/>
      <c r="UQ13" s="160"/>
      <c r="UR13" s="160"/>
      <c r="US13" s="160"/>
      <c r="UT13" s="160"/>
      <c r="UU13" s="160"/>
      <c r="UV13" s="160"/>
      <c r="UW13" s="160"/>
      <c r="UX13" s="160"/>
      <c r="UY13" s="160"/>
      <c r="UZ13" s="160"/>
      <c r="VA13" s="160"/>
      <c r="VB13" s="160"/>
      <c r="VC13" s="160"/>
      <c r="VD13" s="160"/>
      <c r="VE13" s="160"/>
      <c r="VF13" s="160"/>
      <c r="VG13" s="160"/>
      <c r="VH13" s="160"/>
      <c r="VI13" s="160"/>
      <c r="VJ13" s="160"/>
      <c r="VK13" s="160"/>
      <c r="VL13" s="160"/>
      <c r="VM13" s="160"/>
      <c r="VN13" s="160"/>
      <c r="VO13" s="160"/>
      <c r="VP13" s="160"/>
      <c r="VQ13" s="160"/>
      <c r="VR13" s="160"/>
      <c r="VS13" s="160"/>
      <c r="VT13" s="160"/>
      <c r="VU13" s="160"/>
      <c r="VV13" s="160"/>
      <c r="VW13" s="160"/>
      <c r="VX13" s="160"/>
      <c r="VY13" s="160"/>
      <c r="VZ13" s="160"/>
      <c r="WA13" s="160"/>
      <c r="WB13" s="160"/>
      <c r="WC13" s="160"/>
      <c r="WD13" s="160"/>
      <c r="WE13" s="160"/>
      <c r="WF13" s="160"/>
      <c r="WG13" s="160"/>
    </row>
    <row r="14" spans="1:605" s="122" customFormat="1" ht="31.5" customHeight="1" x14ac:dyDescent="0.15">
      <c r="A14" s="224"/>
      <c r="B14" s="161" t="s">
        <v>366</v>
      </c>
      <c r="C14" s="159" t="s">
        <v>436</v>
      </c>
      <c r="D14" s="162">
        <v>0</v>
      </c>
      <c r="E14" s="162">
        <v>2</v>
      </c>
      <c r="F14" s="162">
        <v>2</v>
      </c>
      <c r="G14" s="162">
        <v>3</v>
      </c>
      <c r="H14" s="162">
        <v>3</v>
      </c>
      <c r="I14" s="162">
        <v>3</v>
      </c>
      <c r="J14" s="162">
        <v>3</v>
      </c>
      <c r="K14" s="162">
        <v>2</v>
      </c>
      <c r="L14" s="162">
        <v>2</v>
      </c>
      <c r="M14" s="162">
        <v>2</v>
      </c>
      <c r="N14" s="162">
        <v>2</v>
      </c>
      <c r="O14" s="162">
        <v>2</v>
      </c>
      <c r="P14" s="162">
        <v>2</v>
      </c>
      <c r="Q14" s="162">
        <v>3</v>
      </c>
      <c r="R14" s="162">
        <v>0</v>
      </c>
      <c r="S14" s="162">
        <v>4</v>
      </c>
      <c r="T14" s="162">
        <v>2</v>
      </c>
      <c r="U14" s="162">
        <v>3</v>
      </c>
      <c r="V14" s="162">
        <v>3</v>
      </c>
      <c r="W14" s="162">
        <v>2</v>
      </c>
      <c r="X14" s="162">
        <v>3</v>
      </c>
      <c r="Y14" s="162">
        <v>3</v>
      </c>
      <c r="Z14" s="162">
        <v>2</v>
      </c>
      <c r="AA14" s="162">
        <v>2</v>
      </c>
      <c r="AB14" s="162"/>
      <c r="AC14" s="162"/>
      <c r="AD14" s="162"/>
      <c r="AE14" s="162"/>
      <c r="AF14" s="162"/>
      <c r="AG14" s="162"/>
      <c r="AH14" s="162"/>
      <c r="AI14" s="162"/>
      <c r="AJ14" s="162"/>
      <c r="AK14" s="162"/>
      <c r="AL14" s="162"/>
      <c r="AM14" s="162"/>
      <c r="AN14" s="162"/>
      <c r="AO14" s="16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2"/>
      <c r="BR14" s="162"/>
      <c r="BS14" s="162"/>
      <c r="BT14" s="162"/>
      <c r="BU14" s="162"/>
      <c r="BV14" s="162"/>
      <c r="BW14" s="162"/>
      <c r="BX14" s="162"/>
      <c r="BY14" s="162"/>
      <c r="BZ14" s="162"/>
      <c r="CA14" s="162"/>
      <c r="CB14" s="162"/>
      <c r="CC14" s="162"/>
      <c r="CD14" s="162"/>
      <c r="CE14" s="162"/>
      <c r="CF14" s="162"/>
      <c r="CG14" s="162"/>
      <c r="CH14" s="162"/>
      <c r="CI14" s="162"/>
      <c r="CJ14" s="162"/>
      <c r="CK14" s="162"/>
      <c r="CL14" s="162"/>
      <c r="CM14" s="162"/>
      <c r="CN14" s="162"/>
      <c r="CO14" s="162"/>
      <c r="CP14" s="162"/>
      <c r="CQ14" s="162"/>
      <c r="CR14" s="162"/>
      <c r="CS14" s="162"/>
      <c r="CT14" s="162"/>
      <c r="CU14" s="162"/>
      <c r="CV14" s="162"/>
      <c r="CW14" s="162"/>
      <c r="CX14" s="162"/>
      <c r="CY14" s="162"/>
      <c r="CZ14" s="162"/>
      <c r="DA14" s="162"/>
      <c r="DB14" s="162"/>
      <c r="DC14" s="162"/>
      <c r="DD14" s="162"/>
      <c r="DE14" s="162"/>
      <c r="DF14" s="162"/>
      <c r="DG14" s="162"/>
      <c r="DH14" s="162"/>
      <c r="DI14" s="162"/>
      <c r="DJ14" s="162"/>
      <c r="DK14" s="162"/>
      <c r="DL14" s="162"/>
      <c r="DM14" s="162"/>
      <c r="DN14" s="162"/>
      <c r="DO14" s="162"/>
      <c r="DP14" s="162"/>
      <c r="DQ14" s="162"/>
      <c r="DR14" s="162"/>
      <c r="DS14" s="162"/>
      <c r="DT14" s="162"/>
      <c r="DU14" s="162"/>
      <c r="DV14" s="162"/>
      <c r="DW14" s="162"/>
      <c r="DX14" s="162"/>
      <c r="DY14" s="162"/>
      <c r="DZ14" s="162"/>
      <c r="EA14" s="162"/>
      <c r="EB14" s="162"/>
      <c r="EC14" s="162"/>
      <c r="ED14" s="162"/>
      <c r="EE14" s="162"/>
      <c r="EF14" s="162"/>
      <c r="EG14" s="162"/>
      <c r="EH14" s="162"/>
      <c r="EI14" s="162"/>
      <c r="EJ14" s="162"/>
      <c r="EK14" s="162"/>
      <c r="EL14" s="162"/>
      <c r="EM14" s="162"/>
      <c r="EN14" s="162"/>
      <c r="EO14" s="162"/>
      <c r="EP14" s="162"/>
      <c r="EQ14" s="162"/>
      <c r="ER14" s="162"/>
      <c r="ES14" s="162"/>
      <c r="ET14" s="162"/>
      <c r="EU14" s="162"/>
      <c r="EV14" s="162"/>
      <c r="EW14" s="162"/>
      <c r="EX14" s="162"/>
      <c r="EY14" s="162"/>
      <c r="EZ14" s="162"/>
      <c r="FA14" s="162"/>
      <c r="FB14" s="162"/>
      <c r="FC14" s="162"/>
      <c r="FD14" s="162"/>
      <c r="FE14" s="162"/>
      <c r="FF14" s="162"/>
      <c r="FG14" s="162"/>
      <c r="FH14" s="162"/>
      <c r="FI14" s="162"/>
      <c r="FJ14" s="162"/>
      <c r="FK14" s="162"/>
      <c r="FL14" s="162"/>
      <c r="FM14" s="162"/>
      <c r="FN14" s="162"/>
      <c r="FO14" s="162"/>
      <c r="FP14" s="162"/>
      <c r="FQ14" s="162"/>
      <c r="FR14" s="162"/>
      <c r="FS14" s="162"/>
      <c r="FT14" s="162"/>
      <c r="FU14" s="162"/>
      <c r="FV14" s="162"/>
      <c r="FW14" s="162"/>
      <c r="FX14" s="162"/>
      <c r="FY14" s="162"/>
      <c r="FZ14" s="162"/>
      <c r="GA14" s="162"/>
      <c r="GB14" s="162"/>
      <c r="GC14" s="162"/>
      <c r="GD14" s="162"/>
      <c r="GE14" s="162"/>
      <c r="GF14" s="162"/>
      <c r="GG14" s="162"/>
      <c r="GH14" s="162"/>
      <c r="GI14" s="162"/>
      <c r="GJ14" s="162"/>
      <c r="GK14" s="162"/>
      <c r="GL14" s="162"/>
      <c r="GM14" s="162"/>
      <c r="GN14" s="162"/>
      <c r="GO14" s="162"/>
      <c r="GP14" s="162"/>
      <c r="GQ14" s="162"/>
      <c r="GR14" s="162"/>
      <c r="GS14" s="162"/>
      <c r="GT14" s="162"/>
      <c r="GU14" s="162"/>
      <c r="GV14" s="162"/>
      <c r="GW14" s="162"/>
      <c r="GX14" s="162"/>
      <c r="GY14" s="162"/>
      <c r="GZ14" s="162"/>
      <c r="HA14" s="162"/>
      <c r="HB14" s="162"/>
      <c r="HC14" s="162"/>
      <c r="HD14" s="162"/>
      <c r="HE14" s="162"/>
      <c r="HF14" s="162"/>
      <c r="HG14" s="162"/>
      <c r="HH14" s="162"/>
      <c r="HI14" s="162"/>
      <c r="HJ14" s="162"/>
      <c r="HK14" s="162"/>
      <c r="HL14" s="162"/>
      <c r="HM14" s="162"/>
      <c r="HN14" s="162"/>
      <c r="HO14" s="162"/>
      <c r="HP14" s="162"/>
      <c r="HQ14" s="162"/>
      <c r="HR14" s="162"/>
      <c r="HS14" s="162"/>
      <c r="HT14" s="162"/>
      <c r="HU14" s="162"/>
      <c r="HV14" s="162"/>
      <c r="HW14" s="162"/>
      <c r="HX14" s="162"/>
      <c r="HY14" s="162"/>
      <c r="HZ14" s="162"/>
      <c r="IA14" s="162"/>
      <c r="IB14" s="162"/>
      <c r="IC14" s="162"/>
      <c r="ID14" s="162"/>
      <c r="IE14" s="162"/>
      <c r="IF14" s="162"/>
      <c r="IG14" s="162"/>
      <c r="IH14" s="162"/>
      <c r="II14" s="162"/>
      <c r="IJ14" s="162"/>
      <c r="IK14" s="162"/>
      <c r="IL14" s="162"/>
      <c r="IM14" s="162"/>
      <c r="IN14" s="162"/>
      <c r="IO14" s="162"/>
      <c r="IP14" s="162"/>
      <c r="IQ14" s="162"/>
      <c r="IR14" s="162"/>
      <c r="IS14" s="162"/>
      <c r="IT14" s="162"/>
      <c r="IU14" s="162"/>
      <c r="IV14" s="162"/>
      <c r="IW14" s="162"/>
      <c r="IX14" s="162"/>
      <c r="IY14" s="162"/>
      <c r="IZ14" s="162"/>
      <c r="JA14" s="162"/>
      <c r="JB14" s="162"/>
      <c r="JC14" s="162"/>
      <c r="JD14" s="162"/>
      <c r="JE14" s="162"/>
      <c r="JF14" s="162"/>
      <c r="JG14" s="162"/>
      <c r="JH14" s="162"/>
      <c r="JI14" s="162"/>
      <c r="JJ14" s="162"/>
      <c r="JK14" s="162"/>
      <c r="JL14" s="162"/>
      <c r="JM14" s="162"/>
      <c r="JN14" s="162"/>
      <c r="JO14" s="162"/>
      <c r="JP14" s="162"/>
      <c r="JQ14" s="162"/>
      <c r="JR14" s="162"/>
      <c r="JS14" s="162"/>
      <c r="JT14" s="162"/>
      <c r="JU14" s="162"/>
      <c r="JV14" s="162"/>
      <c r="JW14" s="162"/>
      <c r="JX14" s="162"/>
      <c r="JY14" s="162"/>
      <c r="JZ14" s="162"/>
      <c r="KA14" s="162"/>
      <c r="KB14" s="162"/>
      <c r="KC14" s="162"/>
      <c r="KD14" s="162"/>
      <c r="KE14" s="162"/>
      <c r="KF14" s="162"/>
      <c r="KG14" s="162"/>
      <c r="KH14" s="162"/>
      <c r="KI14" s="162"/>
      <c r="KJ14" s="162"/>
      <c r="KK14" s="162"/>
      <c r="KL14" s="162"/>
      <c r="KM14" s="162"/>
      <c r="KN14" s="162"/>
      <c r="KO14" s="162"/>
      <c r="KP14" s="162"/>
      <c r="KQ14" s="162"/>
      <c r="KR14" s="162"/>
      <c r="KS14" s="162"/>
      <c r="KT14" s="162"/>
      <c r="KU14" s="162"/>
      <c r="KV14" s="162"/>
      <c r="KW14" s="162"/>
      <c r="KX14" s="162"/>
      <c r="KY14" s="162"/>
      <c r="KZ14" s="162"/>
      <c r="LA14" s="162"/>
      <c r="LB14" s="162"/>
      <c r="LC14" s="162"/>
      <c r="LD14" s="162"/>
      <c r="LE14" s="162"/>
      <c r="LF14" s="162"/>
      <c r="LG14" s="162"/>
      <c r="LH14" s="162"/>
      <c r="LI14" s="162"/>
      <c r="LJ14" s="162"/>
      <c r="LK14" s="162"/>
      <c r="LL14" s="162"/>
      <c r="LM14" s="162"/>
      <c r="LN14" s="162"/>
      <c r="LO14" s="162"/>
      <c r="LP14" s="162"/>
      <c r="LQ14" s="162"/>
      <c r="LR14" s="162"/>
      <c r="LS14" s="162"/>
      <c r="LT14" s="162"/>
      <c r="LU14" s="162"/>
      <c r="LV14" s="162"/>
      <c r="LW14" s="162"/>
      <c r="LX14" s="162"/>
      <c r="LY14" s="162"/>
      <c r="LZ14" s="162"/>
      <c r="MA14" s="162"/>
      <c r="MB14" s="162"/>
      <c r="MC14" s="162"/>
      <c r="MD14" s="162"/>
      <c r="ME14" s="162"/>
      <c r="MF14" s="162"/>
      <c r="MG14" s="162"/>
      <c r="MH14" s="162"/>
      <c r="MI14" s="162"/>
      <c r="MJ14" s="162"/>
      <c r="MK14" s="162"/>
      <c r="ML14" s="162"/>
      <c r="MM14" s="162"/>
      <c r="MN14" s="162"/>
      <c r="MO14" s="162"/>
      <c r="MP14" s="162"/>
      <c r="MQ14" s="162"/>
      <c r="MR14" s="162"/>
      <c r="MS14" s="162"/>
      <c r="MT14" s="162"/>
      <c r="MU14" s="162"/>
      <c r="MV14" s="162"/>
      <c r="MW14" s="162"/>
      <c r="MX14" s="162"/>
      <c r="MY14" s="162"/>
      <c r="MZ14" s="162"/>
      <c r="NA14" s="162"/>
      <c r="NB14" s="162"/>
      <c r="NC14" s="162"/>
      <c r="ND14" s="162"/>
      <c r="NE14" s="162"/>
      <c r="NF14" s="162"/>
      <c r="NG14" s="162"/>
      <c r="NH14" s="162"/>
      <c r="NI14" s="162"/>
      <c r="NJ14" s="162"/>
      <c r="NK14" s="162"/>
      <c r="NL14" s="162"/>
      <c r="NM14" s="162"/>
      <c r="NN14" s="162"/>
      <c r="NO14" s="162"/>
      <c r="NP14" s="162"/>
      <c r="NQ14" s="162"/>
      <c r="NR14" s="162"/>
      <c r="NS14" s="162"/>
      <c r="NT14" s="162"/>
      <c r="NU14" s="162"/>
      <c r="NV14" s="162"/>
      <c r="NW14" s="162"/>
      <c r="NX14" s="162"/>
      <c r="NY14" s="162"/>
      <c r="NZ14" s="162"/>
      <c r="OA14" s="162"/>
      <c r="OB14" s="162"/>
      <c r="OC14" s="162"/>
      <c r="OD14" s="162"/>
      <c r="OE14" s="162"/>
      <c r="OF14" s="162"/>
      <c r="OG14" s="162"/>
      <c r="OH14" s="162"/>
      <c r="OI14" s="162"/>
      <c r="OJ14" s="162"/>
      <c r="OK14" s="162"/>
      <c r="OL14" s="162"/>
      <c r="OM14" s="162"/>
      <c r="ON14" s="162"/>
      <c r="OO14" s="162"/>
      <c r="OP14" s="162"/>
      <c r="OQ14" s="162"/>
      <c r="OR14" s="162"/>
      <c r="OS14" s="162"/>
      <c r="OT14" s="162"/>
      <c r="OU14" s="162"/>
      <c r="OV14" s="162"/>
      <c r="OW14" s="162"/>
      <c r="OX14" s="162"/>
      <c r="OY14" s="162"/>
      <c r="OZ14" s="162"/>
      <c r="PA14" s="162"/>
      <c r="PB14" s="162"/>
      <c r="PC14" s="162"/>
      <c r="PD14" s="162"/>
      <c r="PE14" s="162"/>
      <c r="PF14" s="162"/>
      <c r="PG14" s="162"/>
      <c r="PH14" s="162"/>
      <c r="PI14" s="162"/>
      <c r="PJ14" s="162"/>
      <c r="PK14" s="162"/>
      <c r="PL14" s="162"/>
      <c r="PM14" s="162"/>
      <c r="PN14" s="162"/>
      <c r="PO14" s="162"/>
      <c r="PP14" s="162"/>
      <c r="PQ14" s="162"/>
      <c r="PR14" s="162"/>
      <c r="PS14" s="162"/>
      <c r="PT14" s="162"/>
      <c r="PU14" s="162"/>
      <c r="PV14" s="162"/>
      <c r="PW14" s="162"/>
      <c r="PX14" s="162"/>
      <c r="PY14" s="162"/>
      <c r="PZ14" s="162"/>
      <c r="QA14" s="162"/>
      <c r="QB14" s="162"/>
      <c r="QC14" s="162"/>
      <c r="QD14" s="162"/>
      <c r="QE14" s="162"/>
      <c r="QF14" s="162"/>
      <c r="QG14" s="162"/>
      <c r="QH14" s="162"/>
      <c r="QI14" s="162"/>
      <c r="QJ14" s="162"/>
      <c r="QK14" s="162"/>
      <c r="QL14" s="162"/>
      <c r="QM14" s="162"/>
      <c r="QN14" s="162"/>
      <c r="QO14" s="162"/>
      <c r="QP14" s="162"/>
      <c r="QQ14" s="162"/>
      <c r="QR14" s="162"/>
      <c r="QS14" s="162"/>
      <c r="QT14" s="162"/>
      <c r="QU14" s="162"/>
      <c r="QV14" s="162"/>
      <c r="QW14" s="162"/>
      <c r="QX14" s="162"/>
      <c r="QY14" s="162"/>
      <c r="QZ14" s="162"/>
      <c r="RA14" s="162"/>
      <c r="RB14" s="162"/>
      <c r="RC14" s="162"/>
      <c r="RD14" s="162"/>
      <c r="RE14" s="162"/>
      <c r="RF14" s="162"/>
      <c r="RG14" s="162"/>
      <c r="RH14" s="162"/>
      <c r="RI14" s="162"/>
      <c r="RJ14" s="162"/>
      <c r="RK14" s="162"/>
      <c r="RL14" s="162"/>
      <c r="RM14" s="162"/>
      <c r="RN14" s="162"/>
      <c r="RO14" s="162"/>
      <c r="RP14" s="162"/>
      <c r="RQ14" s="162"/>
      <c r="RR14" s="162"/>
      <c r="RS14" s="162"/>
      <c r="RT14" s="162"/>
      <c r="RU14" s="162"/>
      <c r="RV14" s="162"/>
      <c r="RW14" s="162"/>
      <c r="RX14" s="162"/>
      <c r="RY14" s="162"/>
      <c r="RZ14" s="162"/>
      <c r="SA14" s="162"/>
      <c r="SB14" s="162"/>
      <c r="SC14" s="162"/>
      <c r="SD14" s="162"/>
      <c r="SE14" s="162"/>
      <c r="SF14" s="162"/>
      <c r="SG14" s="162"/>
      <c r="SH14" s="162"/>
      <c r="SI14" s="162"/>
      <c r="SJ14" s="162"/>
      <c r="SK14" s="162"/>
      <c r="SL14" s="162"/>
      <c r="SM14" s="162"/>
      <c r="SN14" s="162"/>
      <c r="SO14" s="162"/>
      <c r="SP14" s="162"/>
      <c r="SQ14" s="162"/>
      <c r="SR14" s="162"/>
      <c r="SS14" s="162"/>
      <c r="ST14" s="162"/>
      <c r="SU14" s="162"/>
      <c r="SV14" s="162"/>
      <c r="SW14" s="162"/>
      <c r="SX14" s="162"/>
      <c r="SY14" s="162"/>
      <c r="SZ14" s="162"/>
      <c r="TA14" s="162"/>
      <c r="TB14" s="162"/>
      <c r="TC14" s="162"/>
      <c r="TD14" s="162"/>
      <c r="TE14" s="162"/>
      <c r="TF14" s="162"/>
      <c r="TG14" s="162"/>
      <c r="TH14" s="162"/>
      <c r="TI14" s="162"/>
      <c r="TJ14" s="162"/>
      <c r="TK14" s="162"/>
      <c r="TL14" s="162"/>
      <c r="TM14" s="162"/>
      <c r="TN14" s="162"/>
      <c r="TO14" s="162"/>
      <c r="TP14" s="162"/>
      <c r="TQ14" s="162"/>
      <c r="TR14" s="162"/>
      <c r="TS14" s="162"/>
      <c r="TT14" s="162"/>
      <c r="TU14" s="162"/>
      <c r="TV14" s="162"/>
      <c r="TW14" s="162"/>
      <c r="TX14" s="162"/>
      <c r="TY14" s="162"/>
      <c r="TZ14" s="162"/>
      <c r="UA14" s="162"/>
      <c r="UB14" s="162"/>
      <c r="UC14" s="162"/>
      <c r="UD14" s="162"/>
      <c r="UE14" s="162"/>
      <c r="UF14" s="162"/>
      <c r="UG14" s="162"/>
      <c r="UH14" s="162"/>
      <c r="UI14" s="162"/>
      <c r="UJ14" s="162"/>
      <c r="UK14" s="162"/>
      <c r="UL14" s="162"/>
      <c r="UM14" s="162"/>
      <c r="UN14" s="162"/>
      <c r="UO14" s="162"/>
      <c r="UP14" s="162"/>
      <c r="UQ14" s="162"/>
      <c r="UR14" s="162"/>
      <c r="US14" s="162"/>
      <c r="UT14" s="162"/>
      <c r="UU14" s="162"/>
      <c r="UV14" s="162"/>
      <c r="UW14" s="162"/>
      <c r="UX14" s="162"/>
      <c r="UY14" s="162"/>
      <c r="UZ14" s="162"/>
      <c r="VA14" s="162"/>
      <c r="VB14" s="162"/>
      <c r="VC14" s="162"/>
      <c r="VD14" s="162"/>
      <c r="VE14" s="162"/>
      <c r="VF14" s="162"/>
      <c r="VG14" s="162"/>
      <c r="VH14" s="162"/>
      <c r="VI14" s="162"/>
      <c r="VJ14" s="162"/>
      <c r="VK14" s="162"/>
      <c r="VL14" s="162"/>
      <c r="VM14" s="162"/>
      <c r="VN14" s="162"/>
      <c r="VO14" s="162"/>
      <c r="VP14" s="162"/>
      <c r="VQ14" s="162"/>
      <c r="VR14" s="162"/>
      <c r="VS14" s="162"/>
      <c r="VT14" s="162"/>
      <c r="VU14" s="162"/>
      <c r="VV14" s="162"/>
      <c r="VW14" s="162"/>
      <c r="VX14" s="162"/>
      <c r="VY14" s="162"/>
      <c r="VZ14" s="162"/>
      <c r="WA14" s="162"/>
      <c r="WB14" s="162"/>
      <c r="WC14" s="162"/>
      <c r="WD14" s="162"/>
      <c r="WE14" s="162"/>
      <c r="WF14" s="162"/>
      <c r="WG14" s="162"/>
    </row>
    <row r="15" spans="1:605" s="122" customFormat="1" ht="16.5" customHeight="1" x14ac:dyDescent="0.15">
      <c r="A15" s="225" t="s">
        <v>408</v>
      </c>
      <c r="B15" s="163" t="s">
        <v>425</v>
      </c>
      <c r="C15" s="164" t="s">
        <v>385</v>
      </c>
      <c r="D15" s="165">
        <v>3</v>
      </c>
      <c r="E15" s="165">
        <v>3</v>
      </c>
      <c r="F15" s="165">
        <v>3</v>
      </c>
      <c r="G15" s="165">
        <v>3</v>
      </c>
      <c r="H15" s="165">
        <v>3</v>
      </c>
      <c r="I15" s="165">
        <v>3</v>
      </c>
      <c r="J15" s="165">
        <v>3</v>
      </c>
      <c r="K15" s="165">
        <v>2</v>
      </c>
      <c r="L15" s="165">
        <v>3</v>
      </c>
      <c r="M15" s="165">
        <v>3</v>
      </c>
      <c r="N15" s="165">
        <v>3</v>
      </c>
      <c r="O15" s="165">
        <v>2</v>
      </c>
      <c r="P15" s="165">
        <v>3</v>
      </c>
      <c r="Q15" s="165">
        <v>3</v>
      </c>
      <c r="R15" s="165">
        <v>2</v>
      </c>
      <c r="S15" s="165">
        <v>3</v>
      </c>
      <c r="T15" s="165">
        <v>4</v>
      </c>
      <c r="U15" s="165">
        <v>2</v>
      </c>
      <c r="V15" s="165">
        <v>2</v>
      </c>
      <c r="W15" s="165">
        <v>3</v>
      </c>
      <c r="X15" s="165">
        <v>3</v>
      </c>
      <c r="Y15" s="165">
        <v>3</v>
      </c>
      <c r="Z15" s="165">
        <v>3</v>
      </c>
      <c r="AA15" s="165">
        <v>3</v>
      </c>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5"/>
      <c r="CA15" s="165"/>
      <c r="CB15" s="165"/>
      <c r="CC15" s="165"/>
      <c r="CD15" s="165"/>
      <c r="CE15" s="165"/>
      <c r="CF15" s="165"/>
      <c r="CG15" s="165"/>
      <c r="CH15" s="165"/>
      <c r="CI15" s="165"/>
      <c r="CJ15" s="165"/>
      <c r="CK15" s="165"/>
      <c r="CL15" s="165"/>
      <c r="CM15" s="165"/>
      <c r="CN15" s="165"/>
      <c r="CO15" s="165"/>
      <c r="CP15" s="165"/>
      <c r="CQ15" s="165"/>
      <c r="CR15" s="165"/>
      <c r="CS15" s="165"/>
      <c r="CT15" s="165"/>
      <c r="CU15" s="165"/>
      <c r="CV15" s="165"/>
      <c r="CW15" s="165"/>
      <c r="CX15" s="165"/>
      <c r="CY15" s="165"/>
      <c r="CZ15" s="165"/>
      <c r="DA15" s="165"/>
      <c r="DB15" s="165"/>
      <c r="DC15" s="165"/>
      <c r="DD15" s="165"/>
      <c r="DE15" s="165"/>
      <c r="DF15" s="165"/>
      <c r="DG15" s="165"/>
      <c r="DH15" s="165"/>
      <c r="DI15" s="165"/>
      <c r="DJ15" s="165"/>
      <c r="DK15" s="165"/>
      <c r="DL15" s="165"/>
      <c r="DM15" s="165"/>
      <c r="DN15" s="165"/>
      <c r="DO15" s="165"/>
      <c r="DP15" s="165"/>
      <c r="DQ15" s="165"/>
      <c r="DR15" s="165"/>
      <c r="DS15" s="165"/>
      <c r="DT15" s="165"/>
      <c r="DU15" s="165"/>
      <c r="DV15" s="165"/>
      <c r="DW15" s="165"/>
      <c r="DX15" s="165"/>
      <c r="DY15" s="165"/>
      <c r="DZ15" s="165"/>
      <c r="EA15" s="165"/>
      <c r="EB15" s="165"/>
      <c r="EC15" s="165"/>
      <c r="ED15" s="165"/>
      <c r="EE15" s="165"/>
      <c r="EF15" s="165"/>
      <c r="EG15" s="165"/>
      <c r="EH15" s="165"/>
      <c r="EI15" s="165"/>
      <c r="EJ15" s="165"/>
      <c r="EK15" s="165"/>
      <c r="EL15" s="165"/>
      <c r="EM15" s="165"/>
      <c r="EN15" s="165"/>
      <c r="EO15" s="165"/>
      <c r="EP15" s="165"/>
      <c r="EQ15" s="165"/>
      <c r="ER15" s="165"/>
      <c r="ES15" s="165"/>
      <c r="ET15" s="165"/>
      <c r="EU15" s="165"/>
      <c r="EV15" s="165"/>
      <c r="EW15" s="165"/>
      <c r="EX15" s="165"/>
      <c r="EY15" s="165"/>
      <c r="EZ15" s="165"/>
      <c r="FA15" s="165"/>
      <c r="FB15" s="165"/>
      <c r="FC15" s="165"/>
      <c r="FD15" s="165"/>
      <c r="FE15" s="165"/>
      <c r="FF15" s="165"/>
      <c r="FG15" s="165"/>
      <c r="FH15" s="165"/>
      <c r="FI15" s="165"/>
      <c r="FJ15" s="165"/>
      <c r="FK15" s="165"/>
      <c r="FL15" s="165"/>
      <c r="FM15" s="165"/>
      <c r="FN15" s="165"/>
      <c r="FO15" s="165"/>
      <c r="FP15" s="165"/>
      <c r="FQ15" s="165"/>
      <c r="FR15" s="165"/>
      <c r="FS15" s="165"/>
      <c r="FT15" s="165"/>
      <c r="FU15" s="165"/>
      <c r="FV15" s="165"/>
      <c r="FW15" s="165"/>
      <c r="FX15" s="165"/>
      <c r="FY15" s="165"/>
      <c r="FZ15" s="165"/>
      <c r="GA15" s="165"/>
      <c r="GB15" s="165"/>
      <c r="GC15" s="165"/>
      <c r="GD15" s="165"/>
      <c r="GE15" s="165"/>
      <c r="GF15" s="165"/>
      <c r="GG15" s="165"/>
      <c r="GH15" s="165"/>
      <c r="GI15" s="165"/>
      <c r="GJ15" s="165"/>
      <c r="GK15" s="165"/>
      <c r="GL15" s="165"/>
      <c r="GM15" s="165"/>
      <c r="GN15" s="165"/>
      <c r="GO15" s="165"/>
      <c r="GP15" s="165"/>
      <c r="GQ15" s="165"/>
      <c r="GR15" s="165"/>
      <c r="GS15" s="165"/>
      <c r="GT15" s="165"/>
      <c r="GU15" s="165"/>
      <c r="GV15" s="165"/>
      <c r="GW15" s="165"/>
      <c r="GX15" s="165"/>
      <c r="GY15" s="165"/>
      <c r="GZ15" s="165"/>
      <c r="HA15" s="165"/>
      <c r="HB15" s="165"/>
      <c r="HC15" s="165"/>
      <c r="HD15" s="165"/>
      <c r="HE15" s="165"/>
      <c r="HF15" s="165"/>
      <c r="HG15" s="165"/>
      <c r="HH15" s="165"/>
      <c r="HI15" s="165"/>
      <c r="HJ15" s="165"/>
      <c r="HK15" s="165"/>
      <c r="HL15" s="165"/>
      <c r="HM15" s="165"/>
      <c r="HN15" s="165"/>
      <c r="HO15" s="165"/>
      <c r="HP15" s="165"/>
      <c r="HQ15" s="165"/>
      <c r="HR15" s="165"/>
      <c r="HS15" s="165"/>
      <c r="HT15" s="165"/>
      <c r="HU15" s="165"/>
      <c r="HV15" s="165"/>
      <c r="HW15" s="165"/>
      <c r="HX15" s="165"/>
      <c r="HY15" s="165"/>
      <c r="HZ15" s="165"/>
      <c r="IA15" s="165"/>
      <c r="IB15" s="165"/>
      <c r="IC15" s="165"/>
      <c r="ID15" s="165"/>
      <c r="IE15" s="165"/>
      <c r="IF15" s="165"/>
      <c r="IG15" s="165"/>
      <c r="IH15" s="165"/>
      <c r="II15" s="165"/>
      <c r="IJ15" s="165"/>
      <c r="IK15" s="165"/>
      <c r="IL15" s="165"/>
      <c r="IM15" s="165"/>
      <c r="IN15" s="165"/>
      <c r="IO15" s="165"/>
      <c r="IP15" s="165"/>
      <c r="IQ15" s="165"/>
      <c r="IR15" s="165"/>
      <c r="IS15" s="165"/>
      <c r="IT15" s="165"/>
      <c r="IU15" s="165"/>
      <c r="IV15" s="165"/>
      <c r="IW15" s="165"/>
      <c r="IX15" s="165"/>
      <c r="IY15" s="165"/>
      <c r="IZ15" s="165"/>
      <c r="JA15" s="165"/>
      <c r="JB15" s="165"/>
      <c r="JC15" s="165"/>
      <c r="JD15" s="165"/>
      <c r="JE15" s="165"/>
      <c r="JF15" s="165"/>
      <c r="JG15" s="165"/>
      <c r="JH15" s="165"/>
      <c r="JI15" s="165"/>
      <c r="JJ15" s="165"/>
      <c r="JK15" s="165"/>
      <c r="JL15" s="165"/>
      <c r="JM15" s="165"/>
      <c r="JN15" s="165"/>
      <c r="JO15" s="165"/>
      <c r="JP15" s="165"/>
      <c r="JQ15" s="165"/>
      <c r="JR15" s="165"/>
      <c r="JS15" s="165"/>
      <c r="JT15" s="165"/>
      <c r="JU15" s="165"/>
      <c r="JV15" s="165"/>
      <c r="JW15" s="165"/>
      <c r="JX15" s="165"/>
      <c r="JY15" s="165"/>
      <c r="JZ15" s="165"/>
      <c r="KA15" s="165"/>
      <c r="KB15" s="165"/>
      <c r="KC15" s="165"/>
      <c r="KD15" s="165"/>
      <c r="KE15" s="165"/>
      <c r="KF15" s="165"/>
      <c r="KG15" s="165"/>
      <c r="KH15" s="165"/>
      <c r="KI15" s="165"/>
      <c r="KJ15" s="165"/>
      <c r="KK15" s="165"/>
      <c r="KL15" s="165"/>
      <c r="KM15" s="165"/>
      <c r="KN15" s="165"/>
      <c r="KO15" s="165"/>
      <c r="KP15" s="165"/>
      <c r="KQ15" s="165"/>
      <c r="KR15" s="165"/>
      <c r="KS15" s="165"/>
      <c r="KT15" s="165"/>
      <c r="KU15" s="165"/>
      <c r="KV15" s="165"/>
      <c r="KW15" s="165"/>
      <c r="KX15" s="165"/>
      <c r="KY15" s="165"/>
      <c r="KZ15" s="165"/>
      <c r="LA15" s="165"/>
      <c r="LB15" s="165"/>
      <c r="LC15" s="165"/>
      <c r="LD15" s="165"/>
      <c r="LE15" s="165"/>
      <c r="LF15" s="165"/>
      <c r="LG15" s="165"/>
      <c r="LH15" s="165"/>
      <c r="LI15" s="165"/>
      <c r="LJ15" s="165"/>
      <c r="LK15" s="165"/>
      <c r="LL15" s="165"/>
      <c r="LM15" s="165"/>
      <c r="LN15" s="165"/>
      <c r="LO15" s="165"/>
      <c r="LP15" s="165"/>
      <c r="LQ15" s="165"/>
      <c r="LR15" s="165"/>
      <c r="LS15" s="165"/>
      <c r="LT15" s="165"/>
      <c r="LU15" s="165"/>
      <c r="LV15" s="165"/>
      <c r="LW15" s="165"/>
      <c r="LX15" s="165"/>
      <c r="LY15" s="165"/>
      <c r="LZ15" s="165"/>
      <c r="MA15" s="165"/>
      <c r="MB15" s="165"/>
      <c r="MC15" s="165"/>
      <c r="MD15" s="165"/>
      <c r="ME15" s="165"/>
      <c r="MF15" s="165"/>
      <c r="MG15" s="165"/>
      <c r="MH15" s="165"/>
      <c r="MI15" s="165"/>
      <c r="MJ15" s="165"/>
      <c r="MK15" s="165"/>
      <c r="ML15" s="165"/>
      <c r="MM15" s="165"/>
      <c r="MN15" s="165"/>
      <c r="MO15" s="165"/>
      <c r="MP15" s="165"/>
      <c r="MQ15" s="165"/>
      <c r="MR15" s="165"/>
      <c r="MS15" s="165"/>
      <c r="MT15" s="165"/>
      <c r="MU15" s="165"/>
      <c r="MV15" s="165"/>
      <c r="MW15" s="165"/>
      <c r="MX15" s="165"/>
      <c r="MY15" s="165"/>
      <c r="MZ15" s="165"/>
      <c r="NA15" s="165"/>
      <c r="NB15" s="165"/>
      <c r="NC15" s="165"/>
      <c r="ND15" s="165"/>
      <c r="NE15" s="165"/>
      <c r="NF15" s="165"/>
      <c r="NG15" s="165"/>
      <c r="NH15" s="165"/>
      <c r="NI15" s="165"/>
      <c r="NJ15" s="165"/>
      <c r="NK15" s="165"/>
      <c r="NL15" s="165"/>
      <c r="NM15" s="165"/>
      <c r="NN15" s="165"/>
      <c r="NO15" s="165"/>
      <c r="NP15" s="165"/>
      <c r="NQ15" s="165"/>
      <c r="NR15" s="165"/>
      <c r="NS15" s="165"/>
      <c r="NT15" s="165"/>
      <c r="NU15" s="165"/>
      <c r="NV15" s="165"/>
      <c r="NW15" s="165"/>
      <c r="NX15" s="165"/>
      <c r="NY15" s="165"/>
      <c r="NZ15" s="165"/>
      <c r="OA15" s="165"/>
      <c r="OB15" s="165"/>
      <c r="OC15" s="165"/>
      <c r="OD15" s="165"/>
      <c r="OE15" s="165"/>
      <c r="OF15" s="165"/>
      <c r="OG15" s="165"/>
      <c r="OH15" s="165"/>
      <c r="OI15" s="165"/>
      <c r="OJ15" s="165"/>
      <c r="OK15" s="165"/>
      <c r="OL15" s="165"/>
      <c r="OM15" s="165"/>
      <c r="ON15" s="165"/>
      <c r="OO15" s="165"/>
      <c r="OP15" s="165"/>
      <c r="OQ15" s="165"/>
      <c r="OR15" s="165"/>
      <c r="OS15" s="165"/>
      <c r="OT15" s="165"/>
      <c r="OU15" s="165"/>
      <c r="OV15" s="165"/>
      <c r="OW15" s="165"/>
      <c r="OX15" s="165"/>
      <c r="OY15" s="165"/>
      <c r="OZ15" s="165"/>
      <c r="PA15" s="165"/>
      <c r="PB15" s="165"/>
      <c r="PC15" s="165"/>
      <c r="PD15" s="165"/>
      <c r="PE15" s="165"/>
      <c r="PF15" s="165"/>
      <c r="PG15" s="165"/>
      <c r="PH15" s="165"/>
      <c r="PI15" s="165"/>
      <c r="PJ15" s="165"/>
      <c r="PK15" s="165"/>
      <c r="PL15" s="165"/>
      <c r="PM15" s="165"/>
      <c r="PN15" s="165"/>
      <c r="PO15" s="165"/>
      <c r="PP15" s="165"/>
      <c r="PQ15" s="165"/>
      <c r="PR15" s="165"/>
      <c r="PS15" s="165"/>
      <c r="PT15" s="165"/>
      <c r="PU15" s="165"/>
      <c r="PV15" s="165"/>
      <c r="PW15" s="165"/>
      <c r="PX15" s="165"/>
      <c r="PY15" s="165"/>
      <c r="PZ15" s="165"/>
      <c r="QA15" s="165"/>
      <c r="QB15" s="165"/>
      <c r="QC15" s="165"/>
      <c r="QD15" s="165"/>
      <c r="QE15" s="165"/>
      <c r="QF15" s="165"/>
      <c r="QG15" s="165"/>
      <c r="QH15" s="165"/>
      <c r="QI15" s="165"/>
      <c r="QJ15" s="165"/>
      <c r="QK15" s="165"/>
      <c r="QL15" s="165"/>
      <c r="QM15" s="165"/>
      <c r="QN15" s="165"/>
      <c r="QO15" s="165"/>
      <c r="QP15" s="165"/>
      <c r="QQ15" s="165"/>
      <c r="QR15" s="165"/>
      <c r="QS15" s="165"/>
      <c r="QT15" s="165"/>
      <c r="QU15" s="165"/>
      <c r="QV15" s="165"/>
      <c r="QW15" s="165"/>
      <c r="QX15" s="165"/>
      <c r="QY15" s="165"/>
      <c r="QZ15" s="165"/>
      <c r="RA15" s="165"/>
      <c r="RB15" s="165"/>
      <c r="RC15" s="165"/>
      <c r="RD15" s="165"/>
      <c r="RE15" s="165"/>
      <c r="RF15" s="165"/>
      <c r="RG15" s="165"/>
      <c r="RH15" s="165"/>
      <c r="RI15" s="165"/>
      <c r="RJ15" s="165"/>
      <c r="RK15" s="165"/>
      <c r="RL15" s="165"/>
      <c r="RM15" s="165"/>
      <c r="RN15" s="165"/>
      <c r="RO15" s="165"/>
      <c r="RP15" s="165"/>
      <c r="RQ15" s="165"/>
      <c r="RR15" s="165"/>
      <c r="RS15" s="165"/>
      <c r="RT15" s="165"/>
      <c r="RU15" s="165"/>
      <c r="RV15" s="165"/>
      <c r="RW15" s="165"/>
      <c r="RX15" s="165"/>
      <c r="RY15" s="165"/>
      <c r="RZ15" s="165"/>
      <c r="SA15" s="165"/>
      <c r="SB15" s="165"/>
      <c r="SC15" s="165"/>
      <c r="SD15" s="165"/>
      <c r="SE15" s="165"/>
      <c r="SF15" s="165"/>
      <c r="SG15" s="165"/>
      <c r="SH15" s="165"/>
      <c r="SI15" s="165"/>
      <c r="SJ15" s="165"/>
      <c r="SK15" s="165"/>
      <c r="SL15" s="165"/>
      <c r="SM15" s="165"/>
      <c r="SN15" s="165"/>
      <c r="SO15" s="165"/>
      <c r="SP15" s="165"/>
      <c r="SQ15" s="165"/>
      <c r="SR15" s="165"/>
      <c r="SS15" s="165"/>
      <c r="ST15" s="165"/>
      <c r="SU15" s="165"/>
      <c r="SV15" s="165"/>
      <c r="SW15" s="165"/>
      <c r="SX15" s="165"/>
      <c r="SY15" s="165"/>
      <c r="SZ15" s="165"/>
      <c r="TA15" s="165"/>
      <c r="TB15" s="165"/>
      <c r="TC15" s="165"/>
      <c r="TD15" s="165"/>
      <c r="TE15" s="165"/>
      <c r="TF15" s="165"/>
      <c r="TG15" s="165"/>
      <c r="TH15" s="165"/>
      <c r="TI15" s="165"/>
      <c r="TJ15" s="165"/>
      <c r="TK15" s="165"/>
      <c r="TL15" s="165"/>
      <c r="TM15" s="165"/>
      <c r="TN15" s="165"/>
      <c r="TO15" s="165"/>
      <c r="TP15" s="165"/>
      <c r="TQ15" s="165"/>
      <c r="TR15" s="165"/>
      <c r="TS15" s="165"/>
      <c r="TT15" s="165"/>
      <c r="TU15" s="165"/>
      <c r="TV15" s="165"/>
      <c r="TW15" s="165"/>
      <c r="TX15" s="165"/>
      <c r="TY15" s="165"/>
      <c r="TZ15" s="165"/>
      <c r="UA15" s="165"/>
      <c r="UB15" s="165"/>
      <c r="UC15" s="165"/>
      <c r="UD15" s="165"/>
      <c r="UE15" s="165"/>
      <c r="UF15" s="165"/>
      <c r="UG15" s="165"/>
      <c r="UH15" s="165"/>
      <c r="UI15" s="165"/>
      <c r="UJ15" s="165"/>
      <c r="UK15" s="165"/>
      <c r="UL15" s="165"/>
      <c r="UM15" s="165"/>
      <c r="UN15" s="165"/>
      <c r="UO15" s="165"/>
      <c r="UP15" s="165"/>
      <c r="UQ15" s="165"/>
      <c r="UR15" s="165"/>
      <c r="US15" s="165"/>
      <c r="UT15" s="165"/>
      <c r="UU15" s="165"/>
      <c r="UV15" s="165"/>
      <c r="UW15" s="165"/>
      <c r="UX15" s="165"/>
      <c r="UY15" s="165"/>
      <c r="UZ15" s="165"/>
      <c r="VA15" s="165"/>
      <c r="VB15" s="165"/>
      <c r="VC15" s="165"/>
      <c r="VD15" s="165"/>
      <c r="VE15" s="165"/>
      <c r="VF15" s="165"/>
      <c r="VG15" s="165"/>
      <c r="VH15" s="165"/>
      <c r="VI15" s="165"/>
      <c r="VJ15" s="165"/>
      <c r="VK15" s="165"/>
      <c r="VL15" s="165"/>
      <c r="VM15" s="165"/>
      <c r="VN15" s="165"/>
      <c r="VO15" s="165"/>
      <c r="VP15" s="165"/>
      <c r="VQ15" s="165"/>
      <c r="VR15" s="165"/>
      <c r="VS15" s="165"/>
      <c r="VT15" s="165"/>
      <c r="VU15" s="165"/>
      <c r="VV15" s="165"/>
      <c r="VW15" s="165"/>
      <c r="VX15" s="165"/>
      <c r="VY15" s="165"/>
      <c r="VZ15" s="165"/>
      <c r="WA15" s="165"/>
      <c r="WB15" s="165"/>
      <c r="WC15" s="165"/>
      <c r="WD15" s="165"/>
      <c r="WE15" s="165"/>
      <c r="WF15" s="165"/>
      <c r="WG15" s="165"/>
    </row>
    <row r="16" spans="1:605" s="122" customFormat="1" ht="16.5" customHeight="1" x14ac:dyDescent="0.15">
      <c r="A16" s="225"/>
      <c r="B16" s="166" t="s">
        <v>426</v>
      </c>
      <c r="C16" s="167" t="s">
        <v>410</v>
      </c>
      <c r="D16" s="168">
        <v>3</v>
      </c>
      <c r="E16" s="168">
        <v>2</v>
      </c>
      <c r="F16" s="168">
        <v>3</v>
      </c>
      <c r="G16" s="168">
        <v>2</v>
      </c>
      <c r="H16" s="168">
        <v>2</v>
      </c>
      <c r="I16" s="168">
        <v>2</v>
      </c>
      <c r="J16" s="168">
        <v>3</v>
      </c>
      <c r="K16" s="168">
        <v>2</v>
      </c>
      <c r="L16" s="168">
        <v>4</v>
      </c>
      <c r="M16" s="168">
        <v>2</v>
      </c>
      <c r="N16" s="168">
        <v>2</v>
      </c>
      <c r="O16" s="168">
        <v>2</v>
      </c>
      <c r="P16" s="168">
        <v>3</v>
      </c>
      <c r="Q16" s="168">
        <v>3</v>
      </c>
      <c r="R16" s="168">
        <v>2</v>
      </c>
      <c r="S16" s="168">
        <v>2</v>
      </c>
      <c r="T16" s="168">
        <v>3</v>
      </c>
      <c r="U16" s="168">
        <v>2</v>
      </c>
      <c r="V16" s="168">
        <v>2</v>
      </c>
      <c r="W16" s="168">
        <v>2</v>
      </c>
      <c r="X16" s="168">
        <v>3</v>
      </c>
      <c r="Y16" s="168">
        <v>3</v>
      </c>
      <c r="Z16" s="168">
        <v>4</v>
      </c>
      <c r="AA16" s="168">
        <v>3</v>
      </c>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c r="BJ16" s="168"/>
      <c r="BK16" s="168"/>
      <c r="BL16" s="168"/>
      <c r="BM16" s="168"/>
      <c r="BN16" s="168"/>
      <c r="BO16" s="168"/>
      <c r="BP16" s="168"/>
      <c r="BQ16" s="168"/>
      <c r="BR16" s="168"/>
      <c r="BS16" s="168"/>
      <c r="BT16" s="168"/>
      <c r="BU16" s="168"/>
      <c r="BV16" s="168"/>
      <c r="BW16" s="168"/>
      <c r="BX16" s="168"/>
      <c r="BY16" s="168"/>
      <c r="BZ16" s="168"/>
      <c r="CA16" s="168"/>
      <c r="CB16" s="168"/>
      <c r="CC16" s="168"/>
      <c r="CD16" s="168"/>
      <c r="CE16" s="168"/>
      <c r="CF16" s="168"/>
      <c r="CG16" s="168"/>
      <c r="CH16" s="168"/>
      <c r="CI16" s="168"/>
      <c r="CJ16" s="168"/>
      <c r="CK16" s="168"/>
      <c r="CL16" s="168"/>
      <c r="CM16" s="168"/>
      <c r="CN16" s="168"/>
      <c r="CO16" s="168"/>
      <c r="CP16" s="168"/>
      <c r="CQ16" s="168"/>
      <c r="CR16" s="168"/>
      <c r="CS16" s="168"/>
      <c r="CT16" s="168"/>
      <c r="CU16" s="168"/>
      <c r="CV16" s="168"/>
      <c r="CW16" s="168"/>
      <c r="CX16" s="168"/>
      <c r="CY16" s="168"/>
      <c r="CZ16" s="168"/>
      <c r="DA16" s="168"/>
      <c r="DB16" s="168"/>
      <c r="DC16" s="168"/>
      <c r="DD16" s="168"/>
      <c r="DE16" s="168"/>
      <c r="DF16" s="168"/>
      <c r="DG16" s="168"/>
      <c r="DH16" s="168"/>
      <c r="DI16" s="168"/>
      <c r="DJ16" s="168"/>
      <c r="DK16" s="168"/>
      <c r="DL16" s="168"/>
      <c r="DM16" s="168"/>
      <c r="DN16" s="168"/>
      <c r="DO16" s="168"/>
      <c r="DP16" s="168"/>
      <c r="DQ16" s="168"/>
      <c r="DR16" s="168"/>
      <c r="DS16" s="168"/>
      <c r="DT16" s="168"/>
      <c r="DU16" s="168"/>
      <c r="DV16" s="168"/>
      <c r="DW16" s="168"/>
      <c r="DX16" s="168"/>
      <c r="DY16" s="168"/>
      <c r="DZ16" s="168"/>
      <c r="EA16" s="168"/>
      <c r="EB16" s="168"/>
      <c r="EC16" s="168"/>
      <c r="ED16" s="168"/>
      <c r="EE16" s="168"/>
      <c r="EF16" s="168"/>
      <c r="EG16" s="168"/>
      <c r="EH16" s="168"/>
      <c r="EI16" s="168"/>
      <c r="EJ16" s="168"/>
      <c r="EK16" s="168"/>
      <c r="EL16" s="168"/>
      <c r="EM16" s="168"/>
      <c r="EN16" s="168"/>
      <c r="EO16" s="168"/>
      <c r="EP16" s="168"/>
      <c r="EQ16" s="168"/>
      <c r="ER16" s="168"/>
      <c r="ES16" s="168"/>
      <c r="ET16" s="168"/>
      <c r="EU16" s="168"/>
      <c r="EV16" s="168"/>
      <c r="EW16" s="168"/>
      <c r="EX16" s="168"/>
      <c r="EY16" s="168"/>
      <c r="EZ16" s="168"/>
      <c r="FA16" s="168"/>
      <c r="FB16" s="168"/>
      <c r="FC16" s="168"/>
      <c r="FD16" s="168"/>
      <c r="FE16" s="168"/>
      <c r="FF16" s="168"/>
      <c r="FG16" s="168"/>
      <c r="FH16" s="168"/>
      <c r="FI16" s="168"/>
      <c r="FJ16" s="168"/>
      <c r="FK16" s="168"/>
      <c r="FL16" s="168"/>
      <c r="FM16" s="168"/>
      <c r="FN16" s="168"/>
      <c r="FO16" s="168"/>
      <c r="FP16" s="168"/>
      <c r="FQ16" s="168"/>
      <c r="FR16" s="168"/>
      <c r="FS16" s="168"/>
      <c r="FT16" s="168"/>
      <c r="FU16" s="168"/>
      <c r="FV16" s="168"/>
      <c r="FW16" s="168"/>
      <c r="FX16" s="168"/>
      <c r="FY16" s="168"/>
      <c r="FZ16" s="168"/>
      <c r="GA16" s="168"/>
      <c r="GB16" s="168"/>
      <c r="GC16" s="168"/>
      <c r="GD16" s="168"/>
      <c r="GE16" s="168"/>
      <c r="GF16" s="168"/>
      <c r="GG16" s="168"/>
      <c r="GH16" s="168"/>
      <c r="GI16" s="168"/>
      <c r="GJ16" s="168"/>
      <c r="GK16" s="168"/>
      <c r="GL16" s="168"/>
      <c r="GM16" s="168"/>
      <c r="GN16" s="168"/>
      <c r="GO16" s="168"/>
      <c r="GP16" s="168"/>
      <c r="GQ16" s="168"/>
      <c r="GR16" s="168"/>
      <c r="GS16" s="168"/>
      <c r="GT16" s="168"/>
      <c r="GU16" s="168"/>
      <c r="GV16" s="168"/>
      <c r="GW16" s="168"/>
      <c r="GX16" s="168"/>
      <c r="GY16" s="168"/>
      <c r="GZ16" s="168"/>
      <c r="HA16" s="168"/>
      <c r="HB16" s="168"/>
      <c r="HC16" s="168"/>
      <c r="HD16" s="168"/>
      <c r="HE16" s="168"/>
      <c r="HF16" s="168"/>
      <c r="HG16" s="168"/>
      <c r="HH16" s="168"/>
      <c r="HI16" s="168"/>
      <c r="HJ16" s="168"/>
      <c r="HK16" s="168"/>
      <c r="HL16" s="168"/>
      <c r="HM16" s="168"/>
      <c r="HN16" s="168"/>
      <c r="HO16" s="168"/>
      <c r="HP16" s="168"/>
      <c r="HQ16" s="168"/>
      <c r="HR16" s="168"/>
      <c r="HS16" s="168"/>
      <c r="HT16" s="168"/>
      <c r="HU16" s="168"/>
      <c r="HV16" s="168"/>
      <c r="HW16" s="168"/>
      <c r="HX16" s="168"/>
      <c r="HY16" s="168"/>
      <c r="HZ16" s="168"/>
      <c r="IA16" s="168"/>
      <c r="IB16" s="168"/>
      <c r="IC16" s="168"/>
      <c r="ID16" s="168"/>
      <c r="IE16" s="168"/>
      <c r="IF16" s="168"/>
      <c r="IG16" s="168"/>
      <c r="IH16" s="168"/>
      <c r="II16" s="168"/>
      <c r="IJ16" s="168"/>
      <c r="IK16" s="168"/>
      <c r="IL16" s="168"/>
      <c r="IM16" s="168"/>
      <c r="IN16" s="168"/>
      <c r="IO16" s="168"/>
      <c r="IP16" s="168"/>
      <c r="IQ16" s="168"/>
      <c r="IR16" s="168"/>
      <c r="IS16" s="168"/>
      <c r="IT16" s="168"/>
      <c r="IU16" s="168"/>
      <c r="IV16" s="168"/>
      <c r="IW16" s="168"/>
      <c r="IX16" s="168"/>
      <c r="IY16" s="168"/>
      <c r="IZ16" s="168"/>
      <c r="JA16" s="168"/>
      <c r="JB16" s="168"/>
      <c r="JC16" s="168"/>
      <c r="JD16" s="168"/>
      <c r="JE16" s="168"/>
      <c r="JF16" s="168"/>
      <c r="JG16" s="168"/>
      <c r="JH16" s="168"/>
      <c r="JI16" s="168"/>
      <c r="JJ16" s="168"/>
      <c r="JK16" s="168"/>
      <c r="JL16" s="168"/>
      <c r="JM16" s="168"/>
      <c r="JN16" s="168"/>
      <c r="JO16" s="168"/>
      <c r="JP16" s="168"/>
      <c r="JQ16" s="168"/>
      <c r="JR16" s="168"/>
      <c r="JS16" s="168"/>
      <c r="JT16" s="168"/>
      <c r="JU16" s="168"/>
      <c r="JV16" s="168"/>
      <c r="JW16" s="168"/>
      <c r="JX16" s="168"/>
      <c r="JY16" s="168"/>
      <c r="JZ16" s="168"/>
      <c r="KA16" s="168"/>
      <c r="KB16" s="168"/>
      <c r="KC16" s="168"/>
      <c r="KD16" s="168"/>
      <c r="KE16" s="168"/>
      <c r="KF16" s="168"/>
      <c r="KG16" s="168"/>
      <c r="KH16" s="168"/>
      <c r="KI16" s="168"/>
      <c r="KJ16" s="168"/>
      <c r="KK16" s="168"/>
      <c r="KL16" s="168"/>
      <c r="KM16" s="168"/>
      <c r="KN16" s="168"/>
      <c r="KO16" s="168"/>
      <c r="KP16" s="168"/>
      <c r="KQ16" s="168"/>
      <c r="KR16" s="168"/>
      <c r="KS16" s="168"/>
      <c r="KT16" s="168"/>
      <c r="KU16" s="168"/>
      <c r="KV16" s="168"/>
      <c r="KW16" s="168"/>
      <c r="KX16" s="168"/>
      <c r="KY16" s="168"/>
      <c r="KZ16" s="168"/>
      <c r="LA16" s="168"/>
      <c r="LB16" s="168"/>
      <c r="LC16" s="168"/>
      <c r="LD16" s="168"/>
      <c r="LE16" s="168"/>
      <c r="LF16" s="168"/>
      <c r="LG16" s="168"/>
      <c r="LH16" s="168"/>
      <c r="LI16" s="168"/>
      <c r="LJ16" s="168"/>
      <c r="LK16" s="168"/>
      <c r="LL16" s="168"/>
      <c r="LM16" s="168"/>
      <c r="LN16" s="168"/>
      <c r="LO16" s="168"/>
      <c r="LP16" s="168"/>
      <c r="LQ16" s="168"/>
      <c r="LR16" s="168"/>
      <c r="LS16" s="168"/>
      <c r="LT16" s="168"/>
      <c r="LU16" s="168"/>
      <c r="LV16" s="168"/>
      <c r="LW16" s="168"/>
      <c r="LX16" s="168"/>
      <c r="LY16" s="168"/>
      <c r="LZ16" s="168"/>
      <c r="MA16" s="168"/>
      <c r="MB16" s="168"/>
      <c r="MC16" s="168"/>
      <c r="MD16" s="168"/>
      <c r="ME16" s="168"/>
      <c r="MF16" s="168"/>
      <c r="MG16" s="168"/>
      <c r="MH16" s="168"/>
      <c r="MI16" s="168"/>
      <c r="MJ16" s="168"/>
      <c r="MK16" s="168"/>
      <c r="ML16" s="168"/>
      <c r="MM16" s="168"/>
      <c r="MN16" s="168"/>
      <c r="MO16" s="168"/>
      <c r="MP16" s="168"/>
      <c r="MQ16" s="168"/>
      <c r="MR16" s="168"/>
      <c r="MS16" s="168"/>
      <c r="MT16" s="168"/>
      <c r="MU16" s="168"/>
      <c r="MV16" s="168"/>
      <c r="MW16" s="168"/>
      <c r="MX16" s="168"/>
      <c r="MY16" s="168"/>
      <c r="MZ16" s="168"/>
      <c r="NA16" s="168"/>
      <c r="NB16" s="168"/>
      <c r="NC16" s="168"/>
      <c r="ND16" s="168"/>
      <c r="NE16" s="168"/>
      <c r="NF16" s="168"/>
      <c r="NG16" s="168"/>
      <c r="NH16" s="168"/>
      <c r="NI16" s="168"/>
      <c r="NJ16" s="168"/>
      <c r="NK16" s="168"/>
      <c r="NL16" s="168"/>
      <c r="NM16" s="168"/>
      <c r="NN16" s="168"/>
      <c r="NO16" s="168"/>
      <c r="NP16" s="168"/>
      <c r="NQ16" s="168"/>
      <c r="NR16" s="168"/>
      <c r="NS16" s="168"/>
      <c r="NT16" s="168"/>
      <c r="NU16" s="168"/>
      <c r="NV16" s="168"/>
      <c r="NW16" s="168"/>
      <c r="NX16" s="168"/>
      <c r="NY16" s="168"/>
      <c r="NZ16" s="168"/>
      <c r="OA16" s="168"/>
      <c r="OB16" s="168"/>
      <c r="OC16" s="168"/>
      <c r="OD16" s="168"/>
      <c r="OE16" s="168"/>
      <c r="OF16" s="168"/>
      <c r="OG16" s="168"/>
      <c r="OH16" s="168"/>
      <c r="OI16" s="168"/>
      <c r="OJ16" s="168"/>
      <c r="OK16" s="168"/>
      <c r="OL16" s="168"/>
      <c r="OM16" s="168"/>
      <c r="ON16" s="168"/>
      <c r="OO16" s="168"/>
      <c r="OP16" s="168"/>
      <c r="OQ16" s="168"/>
      <c r="OR16" s="168"/>
      <c r="OS16" s="168"/>
      <c r="OT16" s="168"/>
      <c r="OU16" s="168"/>
      <c r="OV16" s="168"/>
      <c r="OW16" s="168"/>
      <c r="OX16" s="168"/>
      <c r="OY16" s="168"/>
      <c r="OZ16" s="168"/>
      <c r="PA16" s="168"/>
      <c r="PB16" s="168"/>
      <c r="PC16" s="168"/>
      <c r="PD16" s="168"/>
      <c r="PE16" s="168"/>
      <c r="PF16" s="168"/>
      <c r="PG16" s="168"/>
      <c r="PH16" s="168"/>
      <c r="PI16" s="168"/>
      <c r="PJ16" s="168"/>
      <c r="PK16" s="168"/>
      <c r="PL16" s="168"/>
      <c r="PM16" s="168"/>
      <c r="PN16" s="168"/>
      <c r="PO16" s="168"/>
      <c r="PP16" s="168"/>
      <c r="PQ16" s="168"/>
      <c r="PR16" s="168"/>
      <c r="PS16" s="168"/>
      <c r="PT16" s="168"/>
      <c r="PU16" s="168"/>
      <c r="PV16" s="168"/>
      <c r="PW16" s="168"/>
      <c r="PX16" s="168"/>
      <c r="PY16" s="168"/>
      <c r="PZ16" s="168"/>
      <c r="QA16" s="168"/>
      <c r="QB16" s="168"/>
      <c r="QC16" s="168"/>
      <c r="QD16" s="168"/>
      <c r="QE16" s="168"/>
      <c r="QF16" s="168"/>
      <c r="QG16" s="168"/>
      <c r="QH16" s="168"/>
      <c r="QI16" s="168"/>
      <c r="QJ16" s="168"/>
      <c r="QK16" s="168"/>
      <c r="QL16" s="168"/>
      <c r="QM16" s="168"/>
      <c r="QN16" s="168"/>
      <c r="QO16" s="168"/>
      <c r="QP16" s="168"/>
      <c r="QQ16" s="168"/>
      <c r="QR16" s="168"/>
      <c r="QS16" s="168"/>
      <c r="QT16" s="168"/>
      <c r="QU16" s="168"/>
      <c r="QV16" s="168"/>
      <c r="QW16" s="168"/>
      <c r="QX16" s="168"/>
      <c r="QY16" s="168"/>
      <c r="QZ16" s="168"/>
      <c r="RA16" s="168"/>
      <c r="RB16" s="168"/>
      <c r="RC16" s="168"/>
      <c r="RD16" s="168"/>
      <c r="RE16" s="168"/>
      <c r="RF16" s="168"/>
      <c r="RG16" s="168"/>
      <c r="RH16" s="168"/>
      <c r="RI16" s="168"/>
      <c r="RJ16" s="168"/>
      <c r="RK16" s="168"/>
      <c r="RL16" s="168"/>
      <c r="RM16" s="168"/>
      <c r="RN16" s="168"/>
      <c r="RO16" s="168"/>
      <c r="RP16" s="168"/>
      <c r="RQ16" s="168"/>
      <c r="RR16" s="168"/>
      <c r="RS16" s="168"/>
      <c r="RT16" s="168"/>
      <c r="RU16" s="168"/>
      <c r="RV16" s="168"/>
      <c r="RW16" s="168"/>
      <c r="RX16" s="168"/>
      <c r="RY16" s="168"/>
      <c r="RZ16" s="168"/>
      <c r="SA16" s="168"/>
      <c r="SB16" s="168"/>
      <c r="SC16" s="168"/>
      <c r="SD16" s="168"/>
      <c r="SE16" s="168"/>
      <c r="SF16" s="168"/>
      <c r="SG16" s="168"/>
      <c r="SH16" s="168"/>
      <c r="SI16" s="168"/>
      <c r="SJ16" s="168"/>
      <c r="SK16" s="168"/>
      <c r="SL16" s="168"/>
      <c r="SM16" s="168"/>
      <c r="SN16" s="168"/>
      <c r="SO16" s="168"/>
      <c r="SP16" s="168"/>
      <c r="SQ16" s="168"/>
      <c r="SR16" s="168"/>
      <c r="SS16" s="168"/>
      <c r="ST16" s="168"/>
      <c r="SU16" s="168"/>
      <c r="SV16" s="168"/>
      <c r="SW16" s="168"/>
      <c r="SX16" s="168"/>
      <c r="SY16" s="168"/>
      <c r="SZ16" s="168"/>
      <c r="TA16" s="168"/>
      <c r="TB16" s="168"/>
      <c r="TC16" s="168"/>
      <c r="TD16" s="168"/>
      <c r="TE16" s="168"/>
      <c r="TF16" s="168"/>
      <c r="TG16" s="168"/>
      <c r="TH16" s="168"/>
      <c r="TI16" s="168"/>
      <c r="TJ16" s="168"/>
      <c r="TK16" s="168"/>
      <c r="TL16" s="168"/>
      <c r="TM16" s="168"/>
      <c r="TN16" s="168"/>
      <c r="TO16" s="168"/>
      <c r="TP16" s="168"/>
      <c r="TQ16" s="168"/>
      <c r="TR16" s="168"/>
      <c r="TS16" s="168"/>
      <c r="TT16" s="168"/>
      <c r="TU16" s="168"/>
      <c r="TV16" s="168"/>
      <c r="TW16" s="168"/>
      <c r="TX16" s="168"/>
      <c r="TY16" s="168"/>
      <c r="TZ16" s="168"/>
      <c r="UA16" s="168"/>
      <c r="UB16" s="168"/>
      <c r="UC16" s="168"/>
      <c r="UD16" s="168"/>
      <c r="UE16" s="168"/>
      <c r="UF16" s="168"/>
      <c r="UG16" s="168"/>
      <c r="UH16" s="168"/>
      <c r="UI16" s="168"/>
      <c r="UJ16" s="168"/>
      <c r="UK16" s="168"/>
      <c r="UL16" s="168"/>
      <c r="UM16" s="168"/>
      <c r="UN16" s="168"/>
      <c r="UO16" s="168"/>
      <c r="UP16" s="168"/>
      <c r="UQ16" s="168"/>
      <c r="UR16" s="168"/>
      <c r="US16" s="168"/>
      <c r="UT16" s="168"/>
      <c r="UU16" s="168"/>
      <c r="UV16" s="168"/>
      <c r="UW16" s="168"/>
      <c r="UX16" s="168"/>
      <c r="UY16" s="168"/>
      <c r="UZ16" s="168"/>
      <c r="VA16" s="168"/>
      <c r="VB16" s="168"/>
      <c r="VC16" s="168"/>
      <c r="VD16" s="168"/>
      <c r="VE16" s="168"/>
      <c r="VF16" s="168"/>
      <c r="VG16" s="168"/>
      <c r="VH16" s="168"/>
      <c r="VI16" s="168"/>
      <c r="VJ16" s="168"/>
      <c r="VK16" s="168"/>
      <c r="VL16" s="168"/>
      <c r="VM16" s="168"/>
      <c r="VN16" s="168"/>
      <c r="VO16" s="168"/>
      <c r="VP16" s="168"/>
      <c r="VQ16" s="168"/>
      <c r="VR16" s="168"/>
      <c r="VS16" s="168"/>
      <c r="VT16" s="168"/>
      <c r="VU16" s="168"/>
      <c r="VV16" s="168"/>
      <c r="VW16" s="168"/>
      <c r="VX16" s="168"/>
      <c r="VY16" s="168"/>
      <c r="VZ16" s="168"/>
      <c r="WA16" s="168"/>
      <c r="WB16" s="168"/>
      <c r="WC16" s="168"/>
      <c r="WD16" s="168"/>
      <c r="WE16" s="168"/>
      <c r="WF16" s="168"/>
      <c r="WG16" s="168"/>
    </row>
    <row r="17" spans="1:605" s="122" customFormat="1" ht="72" customHeight="1" x14ac:dyDescent="0.15">
      <c r="A17" s="225"/>
      <c r="B17" s="169" t="s">
        <v>412</v>
      </c>
      <c r="C17" s="170" t="s">
        <v>403</v>
      </c>
      <c r="D17" s="171">
        <v>60</v>
      </c>
      <c r="E17" s="171">
        <v>60</v>
      </c>
      <c r="F17" s="171">
        <v>80</v>
      </c>
      <c r="G17" s="171">
        <v>60</v>
      </c>
      <c r="H17" s="171">
        <v>120</v>
      </c>
      <c r="I17" s="171">
        <v>60</v>
      </c>
      <c r="J17" s="171">
        <v>90</v>
      </c>
      <c r="K17" s="171">
        <v>60</v>
      </c>
      <c r="L17" s="171">
        <v>90</v>
      </c>
      <c r="M17" s="171">
        <v>60</v>
      </c>
      <c r="N17" s="171">
        <v>90</v>
      </c>
      <c r="O17" s="171">
        <v>60</v>
      </c>
      <c r="P17" s="171">
        <v>60</v>
      </c>
      <c r="Q17" s="171">
        <v>60</v>
      </c>
      <c r="R17" s="171">
        <v>60</v>
      </c>
      <c r="S17" s="171">
        <v>60</v>
      </c>
      <c r="T17" s="171">
        <v>60</v>
      </c>
      <c r="U17" s="171">
        <v>60</v>
      </c>
      <c r="V17" s="171">
        <v>60</v>
      </c>
      <c r="W17" s="171">
        <v>90</v>
      </c>
      <c r="X17" s="171">
        <v>60</v>
      </c>
      <c r="Y17" s="171">
        <v>90</v>
      </c>
      <c r="Z17" s="171">
        <v>90</v>
      </c>
      <c r="AA17" s="171">
        <v>60</v>
      </c>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1"/>
      <c r="AX17" s="171"/>
      <c r="AY17" s="171"/>
      <c r="AZ17" s="171"/>
      <c r="BA17" s="171"/>
      <c r="BB17" s="171"/>
      <c r="BC17" s="171"/>
      <c r="BD17" s="171"/>
      <c r="BE17" s="171"/>
      <c r="BF17" s="171"/>
      <c r="BG17" s="171"/>
      <c r="BH17" s="171"/>
      <c r="BI17" s="171"/>
      <c r="BJ17" s="171"/>
      <c r="BK17" s="171"/>
      <c r="BL17" s="171"/>
      <c r="BM17" s="171"/>
      <c r="BN17" s="171"/>
      <c r="BO17" s="171"/>
      <c r="BP17" s="171"/>
      <c r="BQ17" s="171"/>
      <c r="BR17" s="171"/>
      <c r="BS17" s="171"/>
      <c r="BT17" s="171"/>
      <c r="BU17" s="171"/>
      <c r="BV17" s="171"/>
      <c r="BW17" s="171"/>
      <c r="BX17" s="171"/>
      <c r="BY17" s="171"/>
      <c r="BZ17" s="171"/>
      <c r="CA17" s="171"/>
      <c r="CB17" s="171"/>
      <c r="CC17" s="171"/>
      <c r="CD17" s="171"/>
      <c r="CE17" s="171"/>
      <c r="CF17" s="171"/>
      <c r="CG17" s="171"/>
      <c r="CH17" s="171"/>
      <c r="CI17" s="171"/>
      <c r="CJ17" s="171"/>
      <c r="CK17" s="171"/>
      <c r="CL17" s="171"/>
      <c r="CM17" s="171"/>
      <c r="CN17" s="171"/>
      <c r="CO17" s="171"/>
      <c r="CP17" s="171"/>
      <c r="CQ17" s="171"/>
      <c r="CR17" s="171"/>
      <c r="CS17" s="171"/>
      <c r="CT17" s="171"/>
      <c r="CU17" s="171"/>
      <c r="CV17" s="171"/>
      <c r="CW17" s="171"/>
      <c r="CX17" s="171"/>
      <c r="CY17" s="171"/>
      <c r="CZ17" s="171"/>
      <c r="DA17" s="171"/>
      <c r="DB17" s="171"/>
      <c r="DC17" s="171"/>
      <c r="DD17" s="171"/>
      <c r="DE17" s="171"/>
      <c r="DF17" s="171"/>
      <c r="DG17" s="171"/>
      <c r="DH17" s="171"/>
      <c r="DI17" s="171"/>
      <c r="DJ17" s="171"/>
      <c r="DK17" s="171"/>
      <c r="DL17" s="171"/>
      <c r="DM17" s="171"/>
      <c r="DN17" s="171"/>
      <c r="DO17" s="171"/>
      <c r="DP17" s="171"/>
      <c r="DQ17" s="171"/>
      <c r="DR17" s="171"/>
      <c r="DS17" s="171"/>
      <c r="DT17" s="171"/>
      <c r="DU17" s="171"/>
      <c r="DV17" s="171"/>
      <c r="DW17" s="171"/>
      <c r="DX17" s="171"/>
      <c r="DY17" s="171"/>
      <c r="DZ17" s="171"/>
      <c r="EA17" s="171"/>
      <c r="EB17" s="171"/>
      <c r="EC17" s="171"/>
      <c r="ED17" s="171"/>
      <c r="EE17" s="171"/>
      <c r="EF17" s="171"/>
      <c r="EG17" s="171"/>
      <c r="EH17" s="171"/>
      <c r="EI17" s="171"/>
      <c r="EJ17" s="171"/>
      <c r="EK17" s="171"/>
      <c r="EL17" s="171"/>
      <c r="EM17" s="171"/>
      <c r="EN17" s="171"/>
      <c r="EO17" s="171"/>
      <c r="EP17" s="171"/>
      <c r="EQ17" s="171"/>
      <c r="ER17" s="171"/>
      <c r="ES17" s="171"/>
      <c r="ET17" s="171"/>
      <c r="EU17" s="171"/>
      <c r="EV17" s="171"/>
      <c r="EW17" s="171"/>
      <c r="EX17" s="171"/>
      <c r="EY17" s="171"/>
      <c r="EZ17" s="171"/>
      <c r="FA17" s="171"/>
      <c r="FB17" s="171"/>
      <c r="FC17" s="171"/>
      <c r="FD17" s="171"/>
      <c r="FE17" s="171"/>
      <c r="FF17" s="171"/>
      <c r="FG17" s="171"/>
      <c r="FH17" s="171"/>
      <c r="FI17" s="171"/>
      <c r="FJ17" s="171"/>
      <c r="FK17" s="171"/>
      <c r="FL17" s="171"/>
      <c r="FM17" s="171"/>
      <c r="FN17" s="171"/>
      <c r="FO17" s="171"/>
      <c r="FP17" s="171"/>
      <c r="FQ17" s="171"/>
      <c r="FR17" s="171"/>
      <c r="FS17" s="171"/>
      <c r="FT17" s="171"/>
      <c r="FU17" s="171"/>
      <c r="FV17" s="171"/>
      <c r="FW17" s="171"/>
      <c r="FX17" s="171"/>
      <c r="FY17" s="171"/>
      <c r="FZ17" s="171"/>
      <c r="GA17" s="171"/>
      <c r="GB17" s="171"/>
      <c r="GC17" s="171"/>
      <c r="GD17" s="171"/>
      <c r="GE17" s="171"/>
      <c r="GF17" s="171"/>
      <c r="GG17" s="171"/>
      <c r="GH17" s="171"/>
      <c r="GI17" s="171"/>
      <c r="GJ17" s="171"/>
      <c r="GK17" s="171"/>
      <c r="GL17" s="171"/>
      <c r="GM17" s="171"/>
      <c r="GN17" s="171"/>
      <c r="GO17" s="171"/>
      <c r="GP17" s="171"/>
      <c r="GQ17" s="171"/>
      <c r="GR17" s="171"/>
      <c r="GS17" s="171"/>
      <c r="GT17" s="171"/>
      <c r="GU17" s="171"/>
      <c r="GV17" s="171"/>
      <c r="GW17" s="171"/>
      <c r="GX17" s="171"/>
      <c r="GY17" s="171"/>
      <c r="GZ17" s="171"/>
      <c r="HA17" s="171"/>
      <c r="HB17" s="171"/>
      <c r="HC17" s="171"/>
      <c r="HD17" s="171"/>
      <c r="HE17" s="171"/>
      <c r="HF17" s="171"/>
      <c r="HG17" s="171"/>
      <c r="HH17" s="171"/>
      <c r="HI17" s="171"/>
      <c r="HJ17" s="171"/>
      <c r="HK17" s="171"/>
      <c r="HL17" s="171"/>
      <c r="HM17" s="171"/>
      <c r="HN17" s="171"/>
      <c r="HO17" s="171"/>
      <c r="HP17" s="171"/>
      <c r="HQ17" s="171"/>
      <c r="HR17" s="171"/>
      <c r="HS17" s="171"/>
      <c r="HT17" s="171"/>
      <c r="HU17" s="171"/>
      <c r="HV17" s="171"/>
      <c r="HW17" s="171"/>
      <c r="HX17" s="171"/>
      <c r="HY17" s="171"/>
      <c r="HZ17" s="171"/>
      <c r="IA17" s="171"/>
      <c r="IB17" s="171"/>
      <c r="IC17" s="171"/>
      <c r="ID17" s="171"/>
      <c r="IE17" s="171"/>
      <c r="IF17" s="171"/>
      <c r="IG17" s="171"/>
      <c r="IH17" s="171"/>
      <c r="II17" s="171"/>
      <c r="IJ17" s="171"/>
      <c r="IK17" s="171"/>
      <c r="IL17" s="171"/>
      <c r="IM17" s="171"/>
      <c r="IN17" s="171"/>
      <c r="IO17" s="171"/>
      <c r="IP17" s="171"/>
      <c r="IQ17" s="171"/>
      <c r="IR17" s="171"/>
      <c r="IS17" s="171"/>
      <c r="IT17" s="171"/>
      <c r="IU17" s="171"/>
      <c r="IV17" s="171"/>
      <c r="IW17" s="171"/>
      <c r="IX17" s="171"/>
      <c r="IY17" s="171"/>
      <c r="IZ17" s="171"/>
      <c r="JA17" s="171"/>
      <c r="JB17" s="171"/>
      <c r="JC17" s="171"/>
      <c r="JD17" s="171"/>
      <c r="JE17" s="171"/>
      <c r="JF17" s="171"/>
      <c r="JG17" s="171"/>
      <c r="JH17" s="171"/>
      <c r="JI17" s="171"/>
      <c r="JJ17" s="171"/>
      <c r="JK17" s="171"/>
      <c r="JL17" s="171"/>
      <c r="JM17" s="171"/>
      <c r="JN17" s="171"/>
      <c r="JO17" s="171"/>
      <c r="JP17" s="171"/>
      <c r="JQ17" s="171"/>
      <c r="JR17" s="171"/>
      <c r="JS17" s="171"/>
      <c r="JT17" s="171"/>
      <c r="JU17" s="171"/>
      <c r="JV17" s="171"/>
      <c r="JW17" s="171"/>
      <c r="JX17" s="171"/>
      <c r="JY17" s="171"/>
      <c r="JZ17" s="171"/>
      <c r="KA17" s="171"/>
      <c r="KB17" s="171"/>
      <c r="KC17" s="171"/>
      <c r="KD17" s="171"/>
      <c r="KE17" s="171"/>
      <c r="KF17" s="171"/>
      <c r="KG17" s="171"/>
      <c r="KH17" s="171"/>
      <c r="KI17" s="171"/>
      <c r="KJ17" s="171"/>
      <c r="KK17" s="171"/>
      <c r="KL17" s="171"/>
      <c r="KM17" s="171"/>
      <c r="KN17" s="171"/>
      <c r="KO17" s="171"/>
      <c r="KP17" s="171"/>
      <c r="KQ17" s="171"/>
      <c r="KR17" s="171"/>
      <c r="KS17" s="171"/>
      <c r="KT17" s="171"/>
      <c r="KU17" s="171"/>
      <c r="KV17" s="171"/>
      <c r="KW17" s="171"/>
      <c r="KX17" s="171"/>
      <c r="KY17" s="171"/>
      <c r="KZ17" s="171"/>
      <c r="LA17" s="171"/>
      <c r="LB17" s="171"/>
      <c r="LC17" s="171"/>
      <c r="LD17" s="171"/>
      <c r="LE17" s="171"/>
      <c r="LF17" s="171"/>
      <c r="LG17" s="171"/>
      <c r="LH17" s="171"/>
      <c r="LI17" s="171"/>
      <c r="LJ17" s="171"/>
      <c r="LK17" s="171"/>
      <c r="LL17" s="171"/>
      <c r="LM17" s="171"/>
      <c r="LN17" s="171"/>
      <c r="LO17" s="171"/>
      <c r="LP17" s="171"/>
      <c r="LQ17" s="171"/>
      <c r="LR17" s="171"/>
      <c r="LS17" s="171"/>
      <c r="LT17" s="171"/>
      <c r="LU17" s="171"/>
      <c r="LV17" s="171"/>
      <c r="LW17" s="171"/>
      <c r="LX17" s="171"/>
      <c r="LY17" s="171"/>
      <c r="LZ17" s="171"/>
      <c r="MA17" s="171"/>
      <c r="MB17" s="171"/>
      <c r="MC17" s="171"/>
      <c r="MD17" s="171"/>
      <c r="ME17" s="171"/>
      <c r="MF17" s="171"/>
      <c r="MG17" s="171"/>
      <c r="MH17" s="171"/>
      <c r="MI17" s="171"/>
      <c r="MJ17" s="171"/>
      <c r="MK17" s="171"/>
      <c r="ML17" s="171"/>
      <c r="MM17" s="171"/>
      <c r="MN17" s="171"/>
      <c r="MO17" s="171"/>
      <c r="MP17" s="171"/>
      <c r="MQ17" s="171"/>
      <c r="MR17" s="171"/>
      <c r="MS17" s="171"/>
      <c r="MT17" s="171"/>
      <c r="MU17" s="171"/>
      <c r="MV17" s="171"/>
      <c r="MW17" s="171"/>
      <c r="MX17" s="171"/>
      <c r="MY17" s="171"/>
      <c r="MZ17" s="171"/>
      <c r="NA17" s="171"/>
      <c r="NB17" s="171"/>
      <c r="NC17" s="171"/>
      <c r="ND17" s="171"/>
      <c r="NE17" s="171"/>
      <c r="NF17" s="171"/>
      <c r="NG17" s="171"/>
      <c r="NH17" s="171"/>
      <c r="NI17" s="171"/>
      <c r="NJ17" s="171"/>
      <c r="NK17" s="171"/>
      <c r="NL17" s="171"/>
      <c r="NM17" s="171"/>
      <c r="NN17" s="171"/>
      <c r="NO17" s="171"/>
      <c r="NP17" s="171"/>
      <c r="NQ17" s="171"/>
      <c r="NR17" s="171"/>
      <c r="NS17" s="171"/>
      <c r="NT17" s="171"/>
      <c r="NU17" s="171"/>
      <c r="NV17" s="171"/>
      <c r="NW17" s="171"/>
      <c r="NX17" s="171"/>
      <c r="NY17" s="171"/>
      <c r="NZ17" s="171"/>
      <c r="OA17" s="171"/>
      <c r="OB17" s="171"/>
      <c r="OC17" s="171"/>
      <c r="OD17" s="171"/>
      <c r="OE17" s="171"/>
      <c r="OF17" s="171"/>
      <c r="OG17" s="171"/>
      <c r="OH17" s="171"/>
      <c r="OI17" s="171"/>
      <c r="OJ17" s="171"/>
      <c r="OK17" s="171"/>
      <c r="OL17" s="171"/>
      <c r="OM17" s="171"/>
      <c r="ON17" s="171"/>
      <c r="OO17" s="171"/>
      <c r="OP17" s="171"/>
      <c r="OQ17" s="171"/>
      <c r="OR17" s="171"/>
      <c r="OS17" s="171"/>
      <c r="OT17" s="171"/>
      <c r="OU17" s="171"/>
      <c r="OV17" s="171"/>
      <c r="OW17" s="171"/>
      <c r="OX17" s="171"/>
      <c r="OY17" s="171"/>
      <c r="OZ17" s="171"/>
      <c r="PA17" s="171"/>
      <c r="PB17" s="171"/>
      <c r="PC17" s="171"/>
      <c r="PD17" s="171"/>
      <c r="PE17" s="171"/>
      <c r="PF17" s="171"/>
      <c r="PG17" s="171"/>
      <c r="PH17" s="171"/>
      <c r="PI17" s="171"/>
      <c r="PJ17" s="171"/>
      <c r="PK17" s="171"/>
      <c r="PL17" s="171"/>
      <c r="PM17" s="171"/>
      <c r="PN17" s="171"/>
      <c r="PO17" s="171"/>
      <c r="PP17" s="171"/>
      <c r="PQ17" s="171"/>
      <c r="PR17" s="171"/>
      <c r="PS17" s="171"/>
      <c r="PT17" s="171"/>
      <c r="PU17" s="171"/>
      <c r="PV17" s="171"/>
      <c r="PW17" s="171"/>
      <c r="PX17" s="171"/>
      <c r="PY17" s="171"/>
      <c r="PZ17" s="171"/>
      <c r="QA17" s="171"/>
      <c r="QB17" s="171"/>
      <c r="QC17" s="171"/>
      <c r="QD17" s="171"/>
      <c r="QE17" s="171"/>
      <c r="QF17" s="171"/>
      <c r="QG17" s="171"/>
      <c r="QH17" s="171"/>
      <c r="QI17" s="171"/>
      <c r="QJ17" s="171"/>
      <c r="QK17" s="171"/>
      <c r="QL17" s="171"/>
      <c r="QM17" s="171"/>
      <c r="QN17" s="171"/>
      <c r="QO17" s="171"/>
      <c r="QP17" s="171"/>
      <c r="QQ17" s="171"/>
      <c r="QR17" s="171"/>
      <c r="QS17" s="171"/>
      <c r="QT17" s="171"/>
      <c r="QU17" s="171"/>
      <c r="QV17" s="171"/>
      <c r="QW17" s="171"/>
      <c r="QX17" s="171"/>
      <c r="QY17" s="171"/>
      <c r="QZ17" s="171"/>
      <c r="RA17" s="171"/>
      <c r="RB17" s="171"/>
      <c r="RC17" s="171"/>
      <c r="RD17" s="171"/>
      <c r="RE17" s="171"/>
      <c r="RF17" s="171"/>
      <c r="RG17" s="171"/>
      <c r="RH17" s="171"/>
      <c r="RI17" s="171"/>
      <c r="RJ17" s="171"/>
      <c r="RK17" s="171"/>
      <c r="RL17" s="171"/>
      <c r="RM17" s="171"/>
      <c r="RN17" s="171"/>
      <c r="RO17" s="171"/>
      <c r="RP17" s="171"/>
      <c r="RQ17" s="171"/>
      <c r="RR17" s="171"/>
      <c r="RS17" s="171"/>
      <c r="RT17" s="171"/>
      <c r="RU17" s="171"/>
      <c r="RV17" s="171"/>
      <c r="RW17" s="171"/>
      <c r="RX17" s="171"/>
      <c r="RY17" s="171"/>
      <c r="RZ17" s="171"/>
      <c r="SA17" s="171"/>
      <c r="SB17" s="171"/>
      <c r="SC17" s="171"/>
      <c r="SD17" s="171"/>
      <c r="SE17" s="171"/>
      <c r="SF17" s="171"/>
      <c r="SG17" s="171"/>
      <c r="SH17" s="171"/>
      <c r="SI17" s="171"/>
      <c r="SJ17" s="171"/>
      <c r="SK17" s="171"/>
      <c r="SL17" s="171"/>
      <c r="SM17" s="171"/>
      <c r="SN17" s="171"/>
      <c r="SO17" s="171"/>
      <c r="SP17" s="171"/>
      <c r="SQ17" s="171"/>
      <c r="SR17" s="171"/>
      <c r="SS17" s="171"/>
      <c r="ST17" s="171"/>
      <c r="SU17" s="171"/>
      <c r="SV17" s="171"/>
      <c r="SW17" s="171"/>
      <c r="SX17" s="171"/>
      <c r="SY17" s="171"/>
      <c r="SZ17" s="171"/>
      <c r="TA17" s="171"/>
      <c r="TB17" s="171"/>
      <c r="TC17" s="171"/>
      <c r="TD17" s="171"/>
      <c r="TE17" s="171"/>
      <c r="TF17" s="171"/>
      <c r="TG17" s="171"/>
      <c r="TH17" s="171"/>
      <c r="TI17" s="171"/>
      <c r="TJ17" s="171"/>
      <c r="TK17" s="171"/>
      <c r="TL17" s="171"/>
      <c r="TM17" s="171"/>
      <c r="TN17" s="171"/>
      <c r="TO17" s="171"/>
      <c r="TP17" s="171"/>
      <c r="TQ17" s="171"/>
      <c r="TR17" s="171"/>
      <c r="TS17" s="171"/>
      <c r="TT17" s="171"/>
      <c r="TU17" s="171"/>
      <c r="TV17" s="171"/>
      <c r="TW17" s="171"/>
      <c r="TX17" s="171"/>
      <c r="TY17" s="171"/>
      <c r="TZ17" s="171"/>
      <c r="UA17" s="171"/>
      <c r="UB17" s="171"/>
      <c r="UC17" s="171"/>
      <c r="UD17" s="171"/>
      <c r="UE17" s="171"/>
      <c r="UF17" s="171"/>
      <c r="UG17" s="171"/>
      <c r="UH17" s="171"/>
      <c r="UI17" s="171"/>
      <c r="UJ17" s="171"/>
      <c r="UK17" s="171"/>
      <c r="UL17" s="171"/>
      <c r="UM17" s="171"/>
      <c r="UN17" s="171"/>
      <c r="UO17" s="171"/>
      <c r="UP17" s="171"/>
      <c r="UQ17" s="171"/>
      <c r="UR17" s="171"/>
      <c r="US17" s="171"/>
      <c r="UT17" s="171"/>
      <c r="UU17" s="171"/>
      <c r="UV17" s="171"/>
      <c r="UW17" s="171"/>
      <c r="UX17" s="171"/>
      <c r="UY17" s="171"/>
      <c r="UZ17" s="171"/>
      <c r="VA17" s="171"/>
      <c r="VB17" s="171"/>
      <c r="VC17" s="171"/>
      <c r="VD17" s="171"/>
      <c r="VE17" s="171"/>
      <c r="VF17" s="171"/>
      <c r="VG17" s="171"/>
      <c r="VH17" s="171"/>
      <c r="VI17" s="171"/>
      <c r="VJ17" s="171"/>
      <c r="VK17" s="171"/>
      <c r="VL17" s="171"/>
      <c r="VM17" s="171"/>
      <c r="VN17" s="171"/>
      <c r="VO17" s="171"/>
      <c r="VP17" s="171"/>
      <c r="VQ17" s="171"/>
      <c r="VR17" s="171"/>
      <c r="VS17" s="171"/>
      <c r="VT17" s="171"/>
      <c r="VU17" s="171"/>
      <c r="VV17" s="171"/>
      <c r="VW17" s="171"/>
      <c r="VX17" s="171"/>
      <c r="VY17" s="171"/>
      <c r="VZ17" s="171"/>
      <c r="WA17" s="171"/>
      <c r="WB17" s="171"/>
      <c r="WC17" s="171"/>
      <c r="WD17" s="171"/>
      <c r="WE17" s="171"/>
      <c r="WF17" s="171"/>
      <c r="WG17" s="171"/>
    </row>
    <row r="18" spans="1:605" s="122" customFormat="1" ht="24" customHeight="1" x14ac:dyDescent="0.15">
      <c r="A18" s="226" t="s">
        <v>409</v>
      </c>
      <c r="B18" s="172" t="s">
        <v>421</v>
      </c>
      <c r="C18" s="173" t="s">
        <v>403</v>
      </c>
      <c r="D18" s="174">
        <v>120</v>
      </c>
      <c r="E18" s="174">
        <v>50</v>
      </c>
      <c r="F18" s="174">
        <v>60</v>
      </c>
      <c r="G18" s="174">
        <v>80</v>
      </c>
      <c r="H18" s="174">
        <v>90</v>
      </c>
      <c r="I18" s="174">
        <v>30</v>
      </c>
      <c r="J18" s="174">
        <v>60</v>
      </c>
      <c r="K18" s="174">
        <v>50</v>
      </c>
      <c r="L18" s="174">
        <v>60</v>
      </c>
      <c r="M18" s="174">
        <v>35</v>
      </c>
      <c r="N18" s="174">
        <v>55</v>
      </c>
      <c r="O18" s="174">
        <v>35</v>
      </c>
      <c r="P18" s="174">
        <v>50</v>
      </c>
      <c r="Q18" s="174">
        <v>40</v>
      </c>
      <c r="R18" s="174">
        <v>0</v>
      </c>
      <c r="S18" s="174">
        <v>100</v>
      </c>
      <c r="T18" s="174">
        <v>75</v>
      </c>
      <c r="U18" s="174">
        <v>45</v>
      </c>
      <c r="V18" s="174">
        <v>65</v>
      </c>
      <c r="W18" s="174">
        <v>50</v>
      </c>
      <c r="X18" s="174">
        <v>120</v>
      </c>
      <c r="Y18" s="174">
        <v>120</v>
      </c>
      <c r="Z18" s="174">
        <v>80</v>
      </c>
      <c r="AA18" s="174">
        <v>35</v>
      </c>
      <c r="AB18" s="174"/>
      <c r="AC18" s="174"/>
      <c r="AD18" s="174"/>
      <c r="AE18" s="174"/>
      <c r="AF18" s="174"/>
      <c r="AG18" s="174"/>
      <c r="AH18" s="174"/>
      <c r="AI18" s="174"/>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174"/>
      <c r="BV18" s="174"/>
      <c r="BW18" s="174"/>
      <c r="BX18" s="174"/>
      <c r="BY18" s="174"/>
      <c r="BZ18" s="174"/>
      <c r="CA18" s="174"/>
      <c r="CB18" s="174"/>
      <c r="CC18" s="174"/>
      <c r="CD18" s="174"/>
      <c r="CE18" s="174"/>
      <c r="CF18" s="174"/>
      <c r="CG18" s="174"/>
      <c r="CH18" s="174"/>
      <c r="CI18" s="174"/>
      <c r="CJ18" s="174"/>
      <c r="CK18" s="174"/>
      <c r="CL18" s="174"/>
      <c r="CM18" s="174"/>
      <c r="CN18" s="174"/>
      <c r="CO18" s="174"/>
      <c r="CP18" s="174"/>
      <c r="CQ18" s="174"/>
      <c r="CR18" s="174"/>
      <c r="CS18" s="174"/>
      <c r="CT18" s="174"/>
      <c r="CU18" s="174"/>
      <c r="CV18" s="174"/>
      <c r="CW18" s="174"/>
      <c r="CX18" s="174"/>
      <c r="CY18" s="174"/>
      <c r="CZ18" s="174"/>
      <c r="DA18" s="174"/>
      <c r="DB18" s="174"/>
      <c r="DC18" s="174"/>
      <c r="DD18" s="174"/>
      <c r="DE18" s="174"/>
      <c r="DF18" s="174"/>
      <c r="DG18" s="174"/>
      <c r="DH18" s="174"/>
      <c r="DI18" s="174"/>
      <c r="DJ18" s="174"/>
      <c r="DK18" s="174"/>
      <c r="DL18" s="174"/>
      <c r="DM18" s="174"/>
      <c r="DN18" s="174"/>
      <c r="DO18" s="174"/>
      <c r="DP18" s="174"/>
      <c r="DQ18" s="174"/>
      <c r="DR18" s="174"/>
      <c r="DS18" s="174"/>
      <c r="DT18" s="174"/>
      <c r="DU18" s="174"/>
      <c r="DV18" s="174"/>
      <c r="DW18" s="174"/>
      <c r="DX18" s="174"/>
      <c r="DY18" s="174"/>
      <c r="DZ18" s="174"/>
      <c r="EA18" s="174"/>
      <c r="EB18" s="174"/>
      <c r="EC18" s="174"/>
      <c r="ED18" s="174"/>
      <c r="EE18" s="174"/>
      <c r="EF18" s="174"/>
      <c r="EG18" s="174"/>
      <c r="EH18" s="174"/>
      <c r="EI18" s="174"/>
      <c r="EJ18" s="174"/>
      <c r="EK18" s="174"/>
      <c r="EL18" s="174"/>
      <c r="EM18" s="174"/>
      <c r="EN18" s="174"/>
      <c r="EO18" s="174"/>
      <c r="EP18" s="174"/>
      <c r="EQ18" s="174"/>
      <c r="ER18" s="174"/>
      <c r="ES18" s="174"/>
      <c r="ET18" s="174"/>
      <c r="EU18" s="174"/>
      <c r="EV18" s="174"/>
      <c r="EW18" s="174"/>
      <c r="EX18" s="174"/>
      <c r="EY18" s="174"/>
      <c r="EZ18" s="174"/>
      <c r="FA18" s="174"/>
      <c r="FB18" s="174"/>
      <c r="FC18" s="174"/>
      <c r="FD18" s="174"/>
      <c r="FE18" s="174"/>
      <c r="FF18" s="174"/>
      <c r="FG18" s="174"/>
      <c r="FH18" s="174"/>
      <c r="FI18" s="174"/>
      <c r="FJ18" s="174"/>
      <c r="FK18" s="174"/>
      <c r="FL18" s="174"/>
      <c r="FM18" s="174"/>
      <c r="FN18" s="174"/>
      <c r="FO18" s="174"/>
      <c r="FP18" s="174"/>
      <c r="FQ18" s="174"/>
      <c r="FR18" s="174"/>
      <c r="FS18" s="174"/>
      <c r="FT18" s="174"/>
      <c r="FU18" s="174"/>
      <c r="FV18" s="174"/>
      <c r="FW18" s="174"/>
      <c r="FX18" s="174"/>
      <c r="FY18" s="174"/>
      <c r="FZ18" s="174"/>
      <c r="GA18" s="174"/>
      <c r="GB18" s="174"/>
      <c r="GC18" s="174"/>
      <c r="GD18" s="174"/>
      <c r="GE18" s="174"/>
      <c r="GF18" s="174"/>
      <c r="GG18" s="174"/>
      <c r="GH18" s="174"/>
      <c r="GI18" s="174"/>
      <c r="GJ18" s="174"/>
      <c r="GK18" s="174"/>
      <c r="GL18" s="174"/>
      <c r="GM18" s="174"/>
      <c r="GN18" s="174"/>
      <c r="GO18" s="174"/>
      <c r="GP18" s="174"/>
      <c r="GQ18" s="174"/>
      <c r="GR18" s="174"/>
      <c r="GS18" s="174"/>
      <c r="GT18" s="174"/>
      <c r="GU18" s="174"/>
      <c r="GV18" s="174"/>
      <c r="GW18" s="174"/>
      <c r="GX18" s="174"/>
      <c r="GY18" s="174"/>
      <c r="GZ18" s="174"/>
      <c r="HA18" s="174"/>
      <c r="HB18" s="174"/>
      <c r="HC18" s="174"/>
      <c r="HD18" s="174"/>
      <c r="HE18" s="174"/>
      <c r="HF18" s="174"/>
      <c r="HG18" s="174"/>
      <c r="HH18" s="174"/>
      <c r="HI18" s="174"/>
      <c r="HJ18" s="174"/>
      <c r="HK18" s="174"/>
      <c r="HL18" s="174"/>
      <c r="HM18" s="174"/>
      <c r="HN18" s="174"/>
      <c r="HO18" s="174"/>
      <c r="HP18" s="174"/>
      <c r="HQ18" s="174"/>
      <c r="HR18" s="174"/>
      <c r="HS18" s="174"/>
      <c r="HT18" s="174"/>
      <c r="HU18" s="174"/>
      <c r="HV18" s="174"/>
      <c r="HW18" s="174"/>
      <c r="HX18" s="174"/>
      <c r="HY18" s="174"/>
      <c r="HZ18" s="174"/>
      <c r="IA18" s="174"/>
      <c r="IB18" s="174"/>
      <c r="IC18" s="174"/>
      <c r="ID18" s="174"/>
      <c r="IE18" s="174"/>
      <c r="IF18" s="174"/>
      <c r="IG18" s="174"/>
      <c r="IH18" s="174"/>
      <c r="II18" s="174"/>
      <c r="IJ18" s="174"/>
      <c r="IK18" s="174"/>
      <c r="IL18" s="174"/>
      <c r="IM18" s="174"/>
      <c r="IN18" s="174"/>
      <c r="IO18" s="174"/>
      <c r="IP18" s="174"/>
      <c r="IQ18" s="174"/>
      <c r="IR18" s="174"/>
      <c r="IS18" s="174"/>
      <c r="IT18" s="174"/>
      <c r="IU18" s="174"/>
      <c r="IV18" s="174"/>
      <c r="IW18" s="174"/>
      <c r="IX18" s="174"/>
      <c r="IY18" s="174"/>
      <c r="IZ18" s="174"/>
      <c r="JA18" s="174"/>
      <c r="JB18" s="174"/>
      <c r="JC18" s="174"/>
      <c r="JD18" s="174"/>
      <c r="JE18" s="174"/>
      <c r="JF18" s="174"/>
      <c r="JG18" s="174"/>
      <c r="JH18" s="174"/>
      <c r="JI18" s="174"/>
      <c r="JJ18" s="174"/>
      <c r="JK18" s="174"/>
      <c r="JL18" s="174"/>
      <c r="JM18" s="174"/>
      <c r="JN18" s="174"/>
      <c r="JO18" s="174"/>
      <c r="JP18" s="174"/>
      <c r="JQ18" s="174"/>
      <c r="JR18" s="174"/>
      <c r="JS18" s="174"/>
      <c r="JT18" s="174"/>
      <c r="JU18" s="174"/>
      <c r="JV18" s="174"/>
      <c r="JW18" s="174"/>
      <c r="JX18" s="174"/>
      <c r="JY18" s="174"/>
      <c r="JZ18" s="174"/>
      <c r="KA18" s="174"/>
      <c r="KB18" s="174"/>
      <c r="KC18" s="174"/>
      <c r="KD18" s="174"/>
      <c r="KE18" s="174"/>
      <c r="KF18" s="174"/>
      <c r="KG18" s="174"/>
      <c r="KH18" s="174"/>
      <c r="KI18" s="174"/>
      <c r="KJ18" s="174"/>
      <c r="KK18" s="174"/>
      <c r="KL18" s="174"/>
      <c r="KM18" s="174"/>
      <c r="KN18" s="174"/>
      <c r="KO18" s="174"/>
      <c r="KP18" s="174"/>
      <c r="KQ18" s="174"/>
      <c r="KR18" s="174"/>
      <c r="KS18" s="174"/>
      <c r="KT18" s="174"/>
      <c r="KU18" s="174"/>
      <c r="KV18" s="174"/>
      <c r="KW18" s="174"/>
      <c r="KX18" s="174"/>
      <c r="KY18" s="174"/>
      <c r="KZ18" s="174"/>
      <c r="LA18" s="174"/>
      <c r="LB18" s="174"/>
      <c r="LC18" s="174"/>
      <c r="LD18" s="174"/>
      <c r="LE18" s="174"/>
      <c r="LF18" s="174"/>
      <c r="LG18" s="174"/>
      <c r="LH18" s="174"/>
      <c r="LI18" s="174"/>
      <c r="LJ18" s="174"/>
      <c r="LK18" s="174"/>
      <c r="LL18" s="174"/>
      <c r="LM18" s="174"/>
      <c r="LN18" s="174"/>
      <c r="LO18" s="174"/>
      <c r="LP18" s="174"/>
      <c r="LQ18" s="174"/>
      <c r="LR18" s="174"/>
      <c r="LS18" s="174"/>
      <c r="LT18" s="174"/>
      <c r="LU18" s="174"/>
      <c r="LV18" s="174"/>
      <c r="LW18" s="174"/>
      <c r="LX18" s="174"/>
      <c r="LY18" s="174"/>
      <c r="LZ18" s="174"/>
      <c r="MA18" s="174"/>
      <c r="MB18" s="174"/>
      <c r="MC18" s="174"/>
      <c r="MD18" s="174"/>
      <c r="ME18" s="174"/>
      <c r="MF18" s="174"/>
      <c r="MG18" s="174"/>
      <c r="MH18" s="174"/>
      <c r="MI18" s="174"/>
      <c r="MJ18" s="174"/>
      <c r="MK18" s="174"/>
      <c r="ML18" s="174"/>
      <c r="MM18" s="174"/>
      <c r="MN18" s="174"/>
      <c r="MO18" s="174"/>
      <c r="MP18" s="174"/>
      <c r="MQ18" s="174"/>
      <c r="MR18" s="174"/>
      <c r="MS18" s="174"/>
      <c r="MT18" s="174"/>
      <c r="MU18" s="174"/>
      <c r="MV18" s="174"/>
      <c r="MW18" s="174"/>
      <c r="MX18" s="174"/>
      <c r="MY18" s="174"/>
      <c r="MZ18" s="174"/>
      <c r="NA18" s="174"/>
      <c r="NB18" s="174"/>
      <c r="NC18" s="174"/>
      <c r="ND18" s="174"/>
      <c r="NE18" s="174"/>
      <c r="NF18" s="174"/>
      <c r="NG18" s="174"/>
      <c r="NH18" s="174"/>
      <c r="NI18" s="174"/>
      <c r="NJ18" s="174"/>
      <c r="NK18" s="174"/>
      <c r="NL18" s="174"/>
      <c r="NM18" s="174"/>
      <c r="NN18" s="174"/>
      <c r="NO18" s="174"/>
      <c r="NP18" s="174"/>
      <c r="NQ18" s="174"/>
      <c r="NR18" s="174"/>
      <c r="NS18" s="174"/>
      <c r="NT18" s="174"/>
      <c r="NU18" s="174"/>
      <c r="NV18" s="174"/>
      <c r="NW18" s="174"/>
      <c r="NX18" s="174"/>
      <c r="NY18" s="174"/>
      <c r="NZ18" s="174"/>
      <c r="OA18" s="174"/>
      <c r="OB18" s="174"/>
      <c r="OC18" s="174"/>
      <c r="OD18" s="174"/>
      <c r="OE18" s="174"/>
      <c r="OF18" s="174"/>
      <c r="OG18" s="174"/>
      <c r="OH18" s="174"/>
      <c r="OI18" s="174"/>
      <c r="OJ18" s="174"/>
      <c r="OK18" s="174"/>
      <c r="OL18" s="174"/>
      <c r="OM18" s="174"/>
      <c r="ON18" s="174"/>
      <c r="OO18" s="174"/>
      <c r="OP18" s="174"/>
      <c r="OQ18" s="174"/>
      <c r="OR18" s="174"/>
      <c r="OS18" s="174"/>
      <c r="OT18" s="174"/>
      <c r="OU18" s="174"/>
      <c r="OV18" s="174"/>
      <c r="OW18" s="174"/>
      <c r="OX18" s="174"/>
      <c r="OY18" s="174"/>
      <c r="OZ18" s="174"/>
      <c r="PA18" s="174"/>
      <c r="PB18" s="174"/>
      <c r="PC18" s="174"/>
      <c r="PD18" s="174"/>
      <c r="PE18" s="174"/>
      <c r="PF18" s="174"/>
      <c r="PG18" s="174"/>
      <c r="PH18" s="174"/>
      <c r="PI18" s="174"/>
      <c r="PJ18" s="174"/>
      <c r="PK18" s="174"/>
      <c r="PL18" s="174"/>
      <c r="PM18" s="174"/>
      <c r="PN18" s="174"/>
      <c r="PO18" s="174"/>
      <c r="PP18" s="174"/>
      <c r="PQ18" s="174"/>
      <c r="PR18" s="174"/>
      <c r="PS18" s="174"/>
      <c r="PT18" s="174"/>
      <c r="PU18" s="174"/>
      <c r="PV18" s="174"/>
      <c r="PW18" s="174"/>
      <c r="PX18" s="174"/>
      <c r="PY18" s="174"/>
      <c r="PZ18" s="174"/>
      <c r="QA18" s="174"/>
      <c r="QB18" s="174"/>
      <c r="QC18" s="174"/>
      <c r="QD18" s="174"/>
      <c r="QE18" s="174"/>
      <c r="QF18" s="174"/>
      <c r="QG18" s="174"/>
      <c r="QH18" s="174"/>
      <c r="QI18" s="174"/>
      <c r="QJ18" s="174"/>
      <c r="QK18" s="174"/>
      <c r="QL18" s="174"/>
      <c r="QM18" s="174"/>
      <c r="QN18" s="174"/>
      <c r="QO18" s="174"/>
      <c r="QP18" s="174"/>
      <c r="QQ18" s="174"/>
      <c r="QR18" s="174"/>
      <c r="QS18" s="174"/>
      <c r="QT18" s="174"/>
      <c r="QU18" s="174"/>
      <c r="QV18" s="174"/>
      <c r="QW18" s="174"/>
      <c r="QX18" s="174"/>
      <c r="QY18" s="174"/>
      <c r="QZ18" s="174"/>
      <c r="RA18" s="174"/>
      <c r="RB18" s="174"/>
      <c r="RC18" s="174"/>
      <c r="RD18" s="174"/>
      <c r="RE18" s="174"/>
      <c r="RF18" s="174"/>
      <c r="RG18" s="174"/>
      <c r="RH18" s="174"/>
      <c r="RI18" s="174"/>
      <c r="RJ18" s="174"/>
      <c r="RK18" s="174"/>
      <c r="RL18" s="174"/>
      <c r="RM18" s="174"/>
      <c r="RN18" s="174"/>
      <c r="RO18" s="174"/>
      <c r="RP18" s="174"/>
      <c r="RQ18" s="174"/>
      <c r="RR18" s="174"/>
      <c r="RS18" s="174"/>
      <c r="RT18" s="174"/>
      <c r="RU18" s="174"/>
      <c r="RV18" s="174"/>
      <c r="RW18" s="174"/>
      <c r="RX18" s="174"/>
      <c r="RY18" s="174"/>
      <c r="RZ18" s="174"/>
      <c r="SA18" s="174"/>
      <c r="SB18" s="174"/>
      <c r="SC18" s="174"/>
      <c r="SD18" s="174"/>
      <c r="SE18" s="174"/>
      <c r="SF18" s="174"/>
      <c r="SG18" s="174"/>
      <c r="SH18" s="174"/>
      <c r="SI18" s="174"/>
      <c r="SJ18" s="174"/>
      <c r="SK18" s="174"/>
      <c r="SL18" s="174"/>
      <c r="SM18" s="174"/>
      <c r="SN18" s="174"/>
      <c r="SO18" s="174"/>
      <c r="SP18" s="174"/>
      <c r="SQ18" s="174"/>
      <c r="SR18" s="174"/>
      <c r="SS18" s="174"/>
      <c r="ST18" s="174"/>
      <c r="SU18" s="174"/>
      <c r="SV18" s="174"/>
      <c r="SW18" s="174"/>
      <c r="SX18" s="174"/>
      <c r="SY18" s="174"/>
      <c r="SZ18" s="174"/>
      <c r="TA18" s="174"/>
      <c r="TB18" s="174"/>
      <c r="TC18" s="174"/>
      <c r="TD18" s="174"/>
      <c r="TE18" s="174"/>
      <c r="TF18" s="174"/>
      <c r="TG18" s="174"/>
      <c r="TH18" s="174"/>
      <c r="TI18" s="174"/>
      <c r="TJ18" s="174"/>
      <c r="TK18" s="174"/>
      <c r="TL18" s="174"/>
      <c r="TM18" s="174"/>
      <c r="TN18" s="174"/>
      <c r="TO18" s="174"/>
      <c r="TP18" s="174"/>
      <c r="TQ18" s="174"/>
      <c r="TR18" s="174"/>
      <c r="TS18" s="174"/>
      <c r="TT18" s="174"/>
      <c r="TU18" s="174"/>
      <c r="TV18" s="174"/>
      <c r="TW18" s="174"/>
      <c r="TX18" s="174"/>
      <c r="TY18" s="174"/>
      <c r="TZ18" s="174"/>
      <c r="UA18" s="174"/>
      <c r="UB18" s="174"/>
      <c r="UC18" s="174"/>
      <c r="UD18" s="174"/>
      <c r="UE18" s="174"/>
      <c r="UF18" s="174"/>
      <c r="UG18" s="174"/>
      <c r="UH18" s="174"/>
      <c r="UI18" s="174"/>
      <c r="UJ18" s="174"/>
      <c r="UK18" s="174"/>
      <c r="UL18" s="174"/>
      <c r="UM18" s="174"/>
      <c r="UN18" s="174"/>
      <c r="UO18" s="174"/>
      <c r="UP18" s="174"/>
      <c r="UQ18" s="174"/>
      <c r="UR18" s="174"/>
      <c r="US18" s="174"/>
      <c r="UT18" s="174"/>
      <c r="UU18" s="174"/>
      <c r="UV18" s="174"/>
      <c r="UW18" s="174"/>
      <c r="UX18" s="174"/>
      <c r="UY18" s="174"/>
      <c r="UZ18" s="174"/>
      <c r="VA18" s="174"/>
      <c r="VB18" s="174"/>
      <c r="VC18" s="174"/>
      <c r="VD18" s="174"/>
      <c r="VE18" s="174"/>
      <c r="VF18" s="174"/>
      <c r="VG18" s="174"/>
      <c r="VH18" s="174"/>
      <c r="VI18" s="174"/>
      <c r="VJ18" s="174"/>
      <c r="VK18" s="174"/>
      <c r="VL18" s="174"/>
      <c r="VM18" s="174"/>
      <c r="VN18" s="174"/>
      <c r="VO18" s="174"/>
      <c r="VP18" s="174"/>
      <c r="VQ18" s="174"/>
      <c r="VR18" s="174"/>
      <c r="VS18" s="174"/>
      <c r="VT18" s="174"/>
      <c r="VU18" s="174"/>
      <c r="VV18" s="174"/>
      <c r="VW18" s="174"/>
      <c r="VX18" s="174"/>
      <c r="VY18" s="174"/>
      <c r="VZ18" s="174"/>
      <c r="WA18" s="174"/>
      <c r="WB18" s="174"/>
      <c r="WC18" s="174"/>
      <c r="WD18" s="174"/>
      <c r="WE18" s="174"/>
      <c r="WF18" s="174"/>
      <c r="WG18" s="174"/>
    </row>
    <row r="19" spans="1:605" s="122" customFormat="1" ht="17.25" x14ac:dyDescent="0.15">
      <c r="A19" s="226"/>
      <c r="B19" s="175" t="s">
        <v>427</v>
      </c>
      <c r="C19" s="176" t="s">
        <v>385</v>
      </c>
      <c r="D19" s="177">
        <v>3</v>
      </c>
      <c r="E19" s="177">
        <v>3</v>
      </c>
      <c r="F19" s="177">
        <v>3</v>
      </c>
      <c r="G19" s="177">
        <v>4</v>
      </c>
      <c r="H19" s="177">
        <v>3</v>
      </c>
      <c r="I19" s="177">
        <v>4</v>
      </c>
      <c r="J19" s="177">
        <v>3</v>
      </c>
      <c r="K19" s="177">
        <v>3</v>
      </c>
      <c r="L19" s="177">
        <v>3</v>
      </c>
      <c r="M19" s="177">
        <v>3</v>
      </c>
      <c r="N19" s="177">
        <v>3</v>
      </c>
      <c r="O19" s="177">
        <v>3</v>
      </c>
      <c r="P19" s="177">
        <v>3</v>
      </c>
      <c r="Q19" s="177">
        <v>3</v>
      </c>
      <c r="R19" s="177">
        <v>1</v>
      </c>
      <c r="S19" s="177">
        <v>4</v>
      </c>
      <c r="T19" s="177">
        <v>3</v>
      </c>
      <c r="U19" s="177">
        <v>3</v>
      </c>
      <c r="V19" s="177">
        <v>3</v>
      </c>
      <c r="W19" s="177">
        <v>3</v>
      </c>
      <c r="X19" s="177">
        <v>4</v>
      </c>
      <c r="Y19" s="177">
        <v>3</v>
      </c>
      <c r="Z19" s="177">
        <v>3</v>
      </c>
      <c r="AA19" s="177">
        <v>3</v>
      </c>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c r="BV19" s="177"/>
      <c r="BW19" s="177"/>
      <c r="BX19" s="177"/>
      <c r="BY19" s="177"/>
      <c r="BZ19" s="177"/>
      <c r="CA19" s="177"/>
      <c r="CB19" s="177"/>
      <c r="CC19" s="177"/>
      <c r="CD19" s="177"/>
      <c r="CE19" s="177"/>
      <c r="CF19" s="177"/>
      <c r="CG19" s="177"/>
      <c r="CH19" s="177"/>
      <c r="CI19" s="177"/>
      <c r="CJ19" s="177"/>
      <c r="CK19" s="177"/>
      <c r="CL19" s="177"/>
      <c r="CM19" s="177"/>
      <c r="CN19" s="177"/>
      <c r="CO19" s="177"/>
      <c r="CP19" s="177"/>
      <c r="CQ19" s="177"/>
      <c r="CR19" s="177"/>
      <c r="CS19" s="177"/>
      <c r="CT19" s="177"/>
      <c r="CU19" s="177"/>
      <c r="CV19" s="177"/>
      <c r="CW19" s="177"/>
      <c r="CX19" s="177"/>
      <c r="CY19" s="177"/>
      <c r="CZ19" s="177"/>
      <c r="DA19" s="177"/>
      <c r="DB19" s="177"/>
      <c r="DC19" s="177"/>
      <c r="DD19" s="177"/>
      <c r="DE19" s="177"/>
      <c r="DF19" s="177"/>
      <c r="DG19" s="177"/>
      <c r="DH19" s="177"/>
      <c r="DI19" s="177"/>
      <c r="DJ19" s="177"/>
      <c r="DK19" s="177"/>
      <c r="DL19" s="177"/>
      <c r="DM19" s="177"/>
      <c r="DN19" s="177"/>
      <c r="DO19" s="177"/>
      <c r="DP19" s="177"/>
      <c r="DQ19" s="177"/>
      <c r="DR19" s="177"/>
      <c r="DS19" s="177"/>
      <c r="DT19" s="177"/>
      <c r="DU19" s="177"/>
      <c r="DV19" s="177"/>
      <c r="DW19" s="177"/>
      <c r="DX19" s="177"/>
      <c r="DY19" s="177"/>
      <c r="DZ19" s="177"/>
      <c r="EA19" s="177"/>
      <c r="EB19" s="177"/>
      <c r="EC19" s="177"/>
      <c r="ED19" s="177"/>
      <c r="EE19" s="177"/>
      <c r="EF19" s="177"/>
      <c r="EG19" s="177"/>
      <c r="EH19" s="177"/>
      <c r="EI19" s="177"/>
      <c r="EJ19" s="177"/>
      <c r="EK19" s="177"/>
      <c r="EL19" s="177"/>
      <c r="EM19" s="177"/>
      <c r="EN19" s="177"/>
      <c r="EO19" s="177"/>
      <c r="EP19" s="177"/>
      <c r="EQ19" s="177"/>
      <c r="ER19" s="177"/>
      <c r="ES19" s="177"/>
      <c r="ET19" s="177"/>
      <c r="EU19" s="177"/>
      <c r="EV19" s="177"/>
      <c r="EW19" s="177"/>
      <c r="EX19" s="177"/>
      <c r="EY19" s="177"/>
      <c r="EZ19" s="177"/>
      <c r="FA19" s="177"/>
      <c r="FB19" s="177"/>
      <c r="FC19" s="177"/>
      <c r="FD19" s="177"/>
      <c r="FE19" s="177"/>
      <c r="FF19" s="177"/>
      <c r="FG19" s="177"/>
      <c r="FH19" s="177"/>
      <c r="FI19" s="177"/>
      <c r="FJ19" s="177"/>
      <c r="FK19" s="177"/>
      <c r="FL19" s="177"/>
      <c r="FM19" s="177"/>
      <c r="FN19" s="177"/>
      <c r="FO19" s="177"/>
      <c r="FP19" s="177"/>
      <c r="FQ19" s="177"/>
      <c r="FR19" s="177"/>
      <c r="FS19" s="177"/>
      <c r="FT19" s="177"/>
      <c r="FU19" s="177"/>
      <c r="FV19" s="177"/>
      <c r="FW19" s="177"/>
      <c r="FX19" s="177"/>
      <c r="FY19" s="177"/>
      <c r="FZ19" s="177"/>
      <c r="GA19" s="177"/>
      <c r="GB19" s="177"/>
      <c r="GC19" s="177"/>
      <c r="GD19" s="177"/>
      <c r="GE19" s="177"/>
      <c r="GF19" s="177"/>
      <c r="GG19" s="177"/>
      <c r="GH19" s="177"/>
      <c r="GI19" s="177"/>
      <c r="GJ19" s="177"/>
      <c r="GK19" s="177"/>
      <c r="GL19" s="177"/>
      <c r="GM19" s="177"/>
      <c r="GN19" s="177"/>
      <c r="GO19" s="177"/>
      <c r="GP19" s="177"/>
      <c r="GQ19" s="177"/>
      <c r="GR19" s="177"/>
      <c r="GS19" s="177"/>
      <c r="GT19" s="177"/>
      <c r="GU19" s="177"/>
      <c r="GV19" s="177"/>
      <c r="GW19" s="177"/>
      <c r="GX19" s="177"/>
      <c r="GY19" s="177"/>
      <c r="GZ19" s="177"/>
      <c r="HA19" s="177"/>
      <c r="HB19" s="177"/>
      <c r="HC19" s="177"/>
      <c r="HD19" s="177"/>
      <c r="HE19" s="177"/>
      <c r="HF19" s="177"/>
      <c r="HG19" s="177"/>
      <c r="HH19" s="177"/>
      <c r="HI19" s="177"/>
      <c r="HJ19" s="177"/>
      <c r="HK19" s="177"/>
      <c r="HL19" s="177"/>
      <c r="HM19" s="177"/>
      <c r="HN19" s="177"/>
      <c r="HO19" s="177"/>
      <c r="HP19" s="177"/>
      <c r="HQ19" s="177"/>
      <c r="HR19" s="177"/>
      <c r="HS19" s="177"/>
      <c r="HT19" s="177"/>
      <c r="HU19" s="177"/>
      <c r="HV19" s="177"/>
      <c r="HW19" s="177"/>
      <c r="HX19" s="177"/>
      <c r="HY19" s="177"/>
      <c r="HZ19" s="177"/>
      <c r="IA19" s="177"/>
      <c r="IB19" s="177"/>
      <c r="IC19" s="177"/>
      <c r="ID19" s="177"/>
      <c r="IE19" s="177"/>
      <c r="IF19" s="177"/>
      <c r="IG19" s="177"/>
      <c r="IH19" s="177"/>
      <c r="II19" s="177"/>
      <c r="IJ19" s="177"/>
      <c r="IK19" s="177"/>
      <c r="IL19" s="177"/>
      <c r="IM19" s="177"/>
      <c r="IN19" s="177"/>
      <c r="IO19" s="177"/>
      <c r="IP19" s="177"/>
      <c r="IQ19" s="177"/>
      <c r="IR19" s="177"/>
      <c r="IS19" s="177"/>
      <c r="IT19" s="177"/>
      <c r="IU19" s="177"/>
      <c r="IV19" s="177"/>
      <c r="IW19" s="177"/>
      <c r="IX19" s="177"/>
      <c r="IY19" s="177"/>
      <c r="IZ19" s="177"/>
      <c r="JA19" s="177"/>
      <c r="JB19" s="177"/>
      <c r="JC19" s="177"/>
      <c r="JD19" s="177"/>
      <c r="JE19" s="177"/>
      <c r="JF19" s="177"/>
      <c r="JG19" s="177"/>
      <c r="JH19" s="177"/>
      <c r="JI19" s="177"/>
      <c r="JJ19" s="177"/>
      <c r="JK19" s="177"/>
      <c r="JL19" s="177"/>
      <c r="JM19" s="177"/>
      <c r="JN19" s="177"/>
      <c r="JO19" s="177"/>
      <c r="JP19" s="177"/>
      <c r="JQ19" s="177"/>
      <c r="JR19" s="177"/>
      <c r="JS19" s="177"/>
      <c r="JT19" s="177"/>
      <c r="JU19" s="177"/>
      <c r="JV19" s="177"/>
      <c r="JW19" s="177"/>
      <c r="JX19" s="177"/>
      <c r="JY19" s="177"/>
      <c r="JZ19" s="177"/>
      <c r="KA19" s="177"/>
      <c r="KB19" s="177"/>
      <c r="KC19" s="177"/>
      <c r="KD19" s="177"/>
      <c r="KE19" s="177"/>
      <c r="KF19" s="177"/>
      <c r="KG19" s="177"/>
      <c r="KH19" s="177"/>
      <c r="KI19" s="177"/>
      <c r="KJ19" s="177"/>
      <c r="KK19" s="177"/>
      <c r="KL19" s="177"/>
      <c r="KM19" s="177"/>
      <c r="KN19" s="177"/>
      <c r="KO19" s="177"/>
      <c r="KP19" s="177"/>
      <c r="KQ19" s="177"/>
      <c r="KR19" s="177"/>
      <c r="KS19" s="177"/>
      <c r="KT19" s="177"/>
      <c r="KU19" s="177"/>
      <c r="KV19" s="177"/>
      <c r="KW19" s="177"/>
      <c r="KX19" s="177"/>
      <c r="KY19" s="177"/>
      <c r="KZ19" s="177"/>
      <c r="LA19" s="177"/>
      <c r="LB19" s="177"/>
      <c r="LC19" s="177"/>
      <c r="LD19" s="177"/>
      <c r="LE19" s="177"/>
      <c r="LF19" s="177"/>
      <c r="LG19" s="177"/>
      <c r="LH19" s="177"/>
      <c r="LI19" s="177"/>
      <c r="LJ19" s="177"/>
      <c r="LK19" s="177"/>
      <c r="LL19" s="177"/>
      <c r="LM19" s="177"/>
      <c r="LN19" s="177"/>
      <c r="LO19" s="177"/>
      <c r="LP19" s="177"/>
      <c r="LQ19" s="177"/>
      <c r="LR19" s="177"/>
      <c r="LS19" s="177"/>
      <c r="LT19" s="177"/>
      <c r="LU19" s="177"/>
      <c r="LV19" s="177"/>
      <c r="LW19" s="177"/>
      <c r="LX19" s="177"/>
      <c r="LY19" s="177"/>
      <c r="LZ19" s="177"/>
      <c r="MA19" s="177"/>
      <c r="MB19" s="177"/>
      <c r="MC19" s="177"/>
      <c r="MD19" s="177"/>
      <c r="ME19" s="177"/>
      <c r="MF19" s="177"/>
      <c r="MG19" s="177"/>
      <c r="MH19" s="177"/>
      <c r="MI19" s="177"/>
      <c r="MJ19" s="177"/>
      <c r="MK19" s="177"/>
      <c r="ML19" s="177"/>
      <c r="MM19" s="177"/>
      <c r="MN19" s="177"/>
      <c r="MO19" s="177"/>
      <c r="MP19" s="177"/>
      <c r="MQ19" s="177"/>
      <c r="MR19" s="177"/>
      <c r="MS19" s="177"/>
      <c r="MT19" s="177"/>
      <c r="MU19" s="177"/>
      <c r="MV19" s="177"/>
      <c r="MW19" s="177"/>
      <c r="MX19" s="177"/>
      <c r="MY19" s="177"/>
      <c r="MZ19" s="177"/>
      <c r="NA19" s="177"/>
      <c r="NB19" s="177"/>
      <c r="NC19" s="177"/>
      <c r="ND19" s="177"/>
      <c r="NE19" s="177"/>
      <c r="NF19" s="177"/>
      <c r="NG19" s="177"/>
      <c r="NH19" s="177"/>
      <c r="NI19" s="177"/>
      <c r="NJ19" s="177"/>
      <c r="NK19" s="177"/>
      <c r="NL19" s="177"/>
      <c r="NM19" s="177"/>
      <c r="NN19" s="177"/>
      <c r="NO19" s="177"/>
      <c r="NP19" s="177"/>
      <c r="NQ19" s="177"/>
      <c r="NR19" s="177"/>
      <c r="NS19" s="177"/>
      <c r="NT19" s="177"/>
      <c r="NU19" s="177"/>
      <c r="NV19" s="177"/>
      <c r="NW19" s="177"/>
      <c r="NX19" s="177"/>
      <c r="NY19" s="177"/>
      <c r="NZ19" s="177"/>
      <c r="OA19" s="177"/>
      <c r="OB19" s="177"/>
      <c r="OC19" s="177"/>
      <c r="OD19" s="177"/>
      <c r="OE19" s="177"/>
      <c r="OF19" s="177"/>
      <c r="OG19" s="177"/>
      <c r="OH19" s="177"/>
      <c r="OI19" s="177"/>
      <c r="OJ19" s="177"/>
      <c r="OK19" s="177"/>
      <c r="OL19" s="177"/>
      <c r="OM19" s="177"/>
      <c r="ON19" s="177"/>
      <c r="OO19" s="177"/>
      <c r="OP19" s="177"/>
      <c r="OQ19" s="177"/>
      <c r="OR19" s="177"/>
      <c r="OS19" s="177"/>
      <c r="OT19" s="177"/>
      <c r="OU19" s="177"/>
      <c r="OV19" s="177"/>
      <c r="OW19" s="177"/>
      <c r="OX19" s="177"/>
      <c r="OY19" s="177"/>
      <c r="OZ19" s="177"/>
      <c r="PA19" s="177"/>
      <c r="PB19" s="177"/>
      <c r="PC19" s="177"/>
      <c r="PD19" s="177"/>
      <c r="PE19" s="177"/>
      <c r="PF19" s="177"/>
      <c r="PG19" s="177"/>
      <c r="PH19" s="177"/>
      <c r="PI19" s="177"/>
      <c r="PJ19" s="177"/>
      <c r="PK19" s="177"/>
      <c r="PL19" s="177"/>
      <c r="PM19" s="177"/>
      <c r="PN19" s="177"/>
      <c r="PO19" s="177"/>
      <c r="PP19" s="177"/>
      <c r="PQ19" s="177"/>
      <c r="PR19" s="177"/>
      <c r="PS19" s="177"/>
      <c r="PT19" s="177"/>
      <c r="PU19" s="177"/>
      <c r="PV19" s="177"/>
      <c r="PW19" s="177"/>
      <c r="PX19" s="177"/>
      <c r="PY19" s="177"/>
      <c r="PZ19" s="177"/>
      <c r="QA19" s="177"/>
      <c r="QB19" s="177"/>
      <c r="QC19" s="177"/>
      <c r="QD19" s="177"/>
      <c r="QE19" s="177"/>
      <c r="QF19" s="177"/>
      <c r="QG19" s="177"/>
      <c r="QH19" s="177"/>
      <c r="QI19" s="177"/>
      <c r="QJ19" s="177"/>
      <c r="QK19" s="177"/>
      <c r="QL19" s="177"/>
      <c r="QM19" s="177"/>
      <c r="QN19" s="177"/>
      <c r="QO19" s="177"/>
      <c r="QP19" s="177"/>
      <c r="QQ19" s="177"/>
      <c r="QR19" s="177"/>
      <c r="QS19" s="177"/>
      <c r="QT19" s="177"/>
      <c r="QU19" s="177"/>
      <c r="QV19" s="177"/>
      <c r="QW19" s="177"/>
      <c r="QX19" s="177"/>
      <c r="QY19" s="177"/>
      <c r="QZ19" s="177"/>
      <c r="RA19" s="177"/>
      <c r="RB19" s="177"/>
      <c r="RC19" s="177"/>
      <c r="RD19" s="177"/>
      <c r="RE19" s="177"/>
      <c r="RF19" s="177"/>
      <c r="RG19" s="177"/>
      <c r="RH19" s="177"/>
      <c r="RI19" s="177"/>
      <c r="RJ19" s="177"/>
      <c r="RK19" s="177"/>
      <c r="RL19" s="177"/>
      <c r="RM19" s="177"/>
      <c r="RN19" s="177"/>
      <c r="RO19" s="177"/>
      <c r="RP19" s="177"/>
      <c r="RQ19" s="177"/>
      <c r="RR19" s="177"/>
      <c r="RS19" s="177"/>
      <c r="RT19" s="177"/>
      <c r="RU19" s="177"/>
      <c r="RV19" s="177"/>
      <c r="RW19" s="177"/>
      <c r="RX19" s="177"/>
      <c r="RY19" s="177"/>
      <c r="RZ19" s="177"/>
      <c r="SA19" s="177"/>
      <c r="SB19" s="177"/>
      <c r="SC19" s="177"/>
      <c r="SD19" s="177"/>
      <c r="SE19" s="177"/>
      <c r="SF19" s="177"/>
      <c r="SG19" s="177"/>
      <c r="SH19" s="177"/>
      <c r="SI19" s="177"/>
      <c r="SJ19" s="177"/>
      <c r="SK19" s="177"/>
      <c r="SL19" s="177"/>
      <c r="SM19" s="177"/>
      <c r="SN19" s="177"/>
      <c r="SO19" s="177"/>
      <c r="SP19" s="177"/>
      <c r="SQ19" s="177"/>
      <c r="SR19" s="177"/>
      <c r="SS19" s="177"/>
      <c r="ST19" s="177"/>
      <c r="SU19" s="177"/>
      <c r="SV19" s="177"/>
      <c r="SW19" s="177"/>
      <c r="SX19" s="177"/>
      <c r="SY19" s="177"/>
      <c r="SZ19" s="177"/>
      <c r="TA19" s="177"/>
      <c r="TB19" s="177"/>
      <c r="TC19" s="177"/>
      <c r="TD19" s="177"/>
      <c r="TE19" s="177"/>
      <c r="TF19" s="177"/>
      <c r="TG19" s="177"/>
      <c r="TH19" s="177"/>
      <c r="TI19" s="177"/>
      <c r="TJ19" s="177"/>
      <c r="TK19" s="177"/>
      <c r="TL19" s="177"/>
      <c r="TM19" s="177"/>
      <c r="TN19" s="177"/>
      <c r="TO19" s="177"/>
      <c r="TP19" s="177"/>
      <c r="TQ19" s="177"/>
      <c r="TR19" s="177"/>
      <c r="TS19" s="177"/>
      <c r="TT19" s="177"/>
      <c r="TU19" s="177"/>
      <c r="TV19" s="177"/>
      <c r="TW19" s="177"/>
      <c r="TX19" s="177"/>
      <c r="TY19" s="177"/>
      <c r="TZ19" s="177"/>
      <c r="UA19" s="177"/>
      <c r="UB19" s="177"/>
      <c r="UC19" s="177"/>
      <c r="UD19" s="177"/>
      <c r="UE19" s="177"/>
      <c r="UF19" s="177"/>
      <c r="UG19" s="177"/>
      <c r="UH19" s="177"/>
      <c r="UI19" s="177"/>
      <c r="UJ19" s="177"/>
      <c r="UK19" s="177"/>
      <c r="UL19" s="177"/>
      <c r="UM19" s="177"/>
      <c r="UN19" s="177"/>
      <c r="UO19" s="177"/>
      <c r="UP19" s="177"/>
      <c r="UQ19" s="177"/>
      <c r="UR19" s="177"/>
      <c r="US19" s="177"/>
      <c r="UT19" s="177"/>
      <c r="UU19" s="177"/>
      <c r="UV19" s="177"/>
      <c r="UW19" s="177"/>
      <c r="UX19" s="177"/>
      <c r="UY19" s="177"/>
      <c r="UZ19" s="177"/>
      <c r="VA19" s="177"/>
      <c r="VB19" s="177"/>
      <c r="VC19" s="177"/>
      <c r="VD19" s="177"/>
      <c r="VE19" s="177"/>
      <c r="VF19" s="177"/>
      <c r="VG19" s="177"/>
      <c r="VH19" s="177"/>
      <c r="VI19" s="177"/>
      <c r="VJ19" s="177"/>
      <c r="VK19" s="177"/>
      <c r="VL19" s="177"/>
      <c r="VM19" s="177"/>
      <c r="VN19" s="177"/>
      <c r="VO19" s="177"/>
      <c r="VP19" s="177"/>
      <c r="VQ19" s="177"/>
      <c r="VR19" s="177"/>
      <c r="VS19" s="177"/>
      <c r="VT19" s="177"/>
      <c r="VU19" s="177"/>
      <c r="VV19" s="177"/>
      <c r="VW19" s="177"/>
      <c r="VX19" s="177"/>
      <c r="VY19" s="177"/>
      <c r="VZ19" s="177"/>
      <c r="WA19" s="177"/>
      <c r="WB19" s="177"/>
      <c r="WC19" s="177"/>
      <c r="WD19" s="177"/>
      <c r="WE19" s="177"/>
      <c r="WF19" s="177"/>
      <c r="WG19" s="177"/>
    </row>
    <row r="20" spans="1:605" s="122" customFormat="1" ht="17.25" x14ac:dyDescent="0.15">
      <c r="A20" s="226"/>
      <c r="B20" s="178" t="s">
        <v>317</v>
      </c>
      <c r="C20" s="176" t="s">
        <v>410</v>
      </c>
      <c r="D20" s="179">
        <v>4</v>
      </c>
      <c r="E20" s="179">
        <v>3</v>
      </c>
      <c r="F20" s="179">
        <v>3</v>
      </c>
      <c r="G20" s="179">
        <v>4</v>
      </c>
      <c r="H20" s="179">
        <v>3</v>
      </c>
      <c r="I20" s="179">
        <v>4</v>
      </c>
      <c r="J20" s="179">
        <v>4</v>
      </c>
      <c r="K20" s="179">
        <v>4</v>
      </c>
      <c r="L20" s="179">
        <v>4</v>
      </c>
      <c r="M20" s="179">
        <v>3</v>
      </c>
      <c r="N20" s="179">
        <v>4</v>
      </c>
      <c r="O20" s="179">
        <v>4</v>
      </c>
      <c r="P20" s="179">
        <v>4</v>
      </c>
      <c r="Q20" s="179">
        <v>4</v>
      </c>
      <c r="R20" s="179">
        <v>1</v>
      </c>
      <c r="S20" s="179">
        <v>3</v>
      </c>
      <c r="T20" s="179">
        <v>2</v>
      </c>
      <c r="U20" s="179">
        <v>3</v>
      </c>
      <c r="V20" s="179">
        <v>3</v>
      </c>
      <c r="W20" s="179">
        <v>3</v>
      </c>
      <c r="X20" s="179">
        <v>4</v>
      </c>
      <c r="Y20" s="179">
        <v>3</v>
      </c>
      <c r="Z20" s="179">
        <v>3</v>
      </c>
      <c r="AA20" s="179">
        <v>3</v>
      </c>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c r="CY20" s="179"/>
      <c r="CZ20" s="179"/>
      <c r="DA20" s="179"/>
      <c r="DB20" s="179"/>
      <c r="DC20" s="179"/>
      <c r="DD20" s="179"/>
      <c r="DE20" s="179"/>
      <c r="DF20" s="179"/>
      <c r="DG20" s="179"/>
      <c r="DH20" s="179"/>
      <c r="DI20" s="179"/>
      <c r="DJ20" s="179"/>
      <c r="DK20" s="179"/>
      <c r="DL20" s="179"/>
      <c r="DM20" s="179"/>
      <c r="DN20" s="179"/>
      <c r="DO20" s="179"/>
      <c r="DP20" s="179"/>
      <c r="DQ20" s="179"/>
      <c r="DR20" s="179"/>
      <c r="DS20" s="179"/>
      <c r="DT20" s="179"/>
      <c r="DU20" s="179"/>
      <c r="DV20" s="179"/>
      <c r="DW20" s="179"/>
      <c r="DX20" s="179"/>
      <c r="DY20" s="179"/>
      <c r="DZ20" s="179"/>
      <c r="EA20" s="179"/>
      <c r="EB20" s="179"/>
      <c r="EC20" s="179"/>
      <c r="ED20" s="179"/>
      <c r="EE20" s="179"/>
      <c r="EF20" s="179"/>
      <c r="EG20" s="179"/>
      <c r="EH20" s="179"/>
      <c r="EI20" s="179"/>
      <c r="EJ20" s="179"/>
      <c r="EK20" s="179"/>
      <c r="EL20" s="179"/>
      <c r="EM20" s="179"/>
      <c r="EN20" s="179"/>
      <c r="EO20" s="179"/>
      <c r="EP20" s="179"/>
      <c r="EQ20" s="179"/>
      <c r="ER20" s="179"/>
      <c r="ES20" s="179"/>
      <c r="ET20" s="179"/>
      <c r="EU20" s="179"/>
      <c r="EV20" s="179"/>
      <c r="EW20" s="179"/>
      <c r="EX20" s="179"/>
      <c r="EY20" s="179"/>
      <c r="EZ20" s="179"/>
      <c r="FA20" s="179"/>
      <c r="FB20" s="179"/>
      <c r="FC20" s="179"/>
      <c r="FD20" s="179"/>
      <c r="FE20" s="179"/>
      <c r="FF20" s="179"/>
      <c r="FG20" s="179"/>
      <c r="FH20" s="179"/>
      <c r="FI20" s="179"/>
      <c r="FJ20" s="179"/>
      <c r="FK20" s="179"/>
      <c r="FL20" s="179"/>
      <c r="FM20" s="179"/>
      <c r="FN20" s="179"/>
      <c r="FO20" s="179"/>
      <c r="FP20" s="179"/>
      <c r="FQ20" s="179"/>
      <c r="FR20" s="179"/>
      <c r="FS20" s="179"/>
      <c r="FT20" s="179"/>
      <c r="FU20" s="179"/>
      <c r="FV20" s="179"/>
      <c r="FW20" s="179"/>
      <c r="FX20" s="179"/>
      <c r="FY20" s="179"/>
      <c r="FZ20" s="179"/>
      <c r="GA20" s="179"/>
      <c r="GB20" s="179"/>
      <c r="GC20" s="179"/>
      <c r="GD20" s="179"/>
      <c r="GE20" s="179"/>
      <c r="GF20" s="179"/>
      <c r="GG20" s="179"/>
      <c r="GH20" s="179"/>
      <c r="GI20" s="179"/>
      <c r="GJ20" s="179"/>
      <c r="GK20" s="179"/>
      <c r="GL20" s="179"/>
      <c r="GM20" s="179"/>
      <c r="GN20" s="179"/>
      <c r="GO20" s="179"/>
      <c r="GP20" s="179"/>
      <c r="GQ20" s="179"/>
      <c r="GR20" s="179"/>
      <c r="GS20" s="179"/>
      <c r="GT20" s="179"/>
      <c r="GU20" s="179"/>
      <c r="GV20" s="179"/>
      <c r="GW20" s="179"/>
      <c r="GX20" s="179"/>
      <c r="GY20" s="179"/>
      <c r="GZ20" s="179"/>
      <c r="HA20" s="179"/>
      <c r="HB20" s="179"/>
      <c r="HC20" s="179"/>
      <c r="HD20" s="179"/>
      <c r="HE20" s="179"/>
      <c r="HF20" s="179"/>
      <c r="HG20" s="179"/>
      <c r="HH20" s="179"/>
      <c r="HI20" s="179"/>
      <c r="HJ20" s="179"/>
      <c r="HK20" s="179"/>
      <c r="HL20" s="179"/>
      <c r="HM20" s="179"/>
      <c r="HN20" s="179"/>
      <c r="HO20" s="179"/>
      <c r="HP20" s="179"/>
      <c r="HQ20" s="179"/>
      <c r="HR20" s="179"/>
      <c r="HS20" s="179"/>
      <c r="HT20" s="179"/>
      <c r="HU20" s="179"/>
      <c r="HV20" s="179"/>
      <c r="HW20" s="179"/>
      <c r="HX20" s="179"/>
      <c r="HY20" s="179"/>
      <c r="HZ20" s="179"/>
      <c r="IA20" s="179"/>
      <c r="IB20" s="179"/>
      <c r="IC20" s="179"/>
      <c r="ID20" s="179"/>
      <c r="IE20" s="179"/>
      <c r="IF20" s="179"/>
      <c r="IG20" s="179"/>
      <c r="IH20" s="179"/>
      <c r="II20" s="179"/>
      <c r="IJ20" s="179"/>
      <c r="IK20" s="179"/>
      <c r="IL20" s="179"/>
      <c r="IM20" s="179"/>
      <c r="IN20" s="179"/>
      <c r="IO20" s="179"/>
      <c r="IP20" s="179"/>
      <c r="IQ20" s="179"/>
      <c r="IR20" s="179"/>
      <c r="IS20" s="179"/>
      <c r="IT20" s="179"/>
      <c r="IU20" s="179"/>
      <c r="IV20" s="179"/>
      <c r="IW20" s="179"/>
      <c r="IX20" s="179"/>
      <c r="IY20" s="179"/>
      <c r="IZ20" s="179"/>
      <c r="JA20" s="179"/>
      <c r="JB20" s="179"/>
      <c r="JC20" s="179"/>
      <c r="JD20" s="179"/>
      <c r="JE20" s="179"/>
      <c r="JF20" s="179"/>
      <c r="JG20" s="179"/>
      <c r="JH20" s="179"/>
      <c r="JI20" s="179"/>
      <c r="JJ20" s="179"/>
      <c r="JK20" s="179"/>
      <c r="JL20" s="179"/>
      <c r="JM20" s="179"/>
      <c r="JN20" s="179"/>
      <c r="JO20" s="179"/>
      <c r="JP20" s="179"/>
      <c r="JQ20" s="179"/>
      <c r="JR20" s="179"/>
      <c r="JS20" s="179"/>
      <c r="JT20" s="179"/>
      <c r="JU20" s="179"/>
      <c r="JV20" s="179"/>
      <c r="JW20" s="179"/>
      <c r="JX20" s="179"/>
      <c r="JY20" s="179"/>
      <c r="JZ20" s="179"/>
      <c r="KA20" s="179"/>
      <c r="KB20" s="179"/>
      <c r="KC20" s="179"/>
      <c r="KD20" s="179"/>
      <c r="KE20" s="179"/>
      <c r="KF20" s="179"/>
      <c r="KG20" s="179"/>
      <c r="KH20" s="179"/>
      <c r="KI20" s="179"/>
      <c r="KJ20" s="179"/>
      <c r="KK20" s="179"/>
      <c r="KL20" s="179"/>
      <c r="KM20" s="179"/>
      <c r="KN20" s="179"/>
      <c r="KO20" s="179"/>
      <c r="KP20" s="179"/>
      <c r="KQ20" s="179"/>
      <c r="KR20" s="179"/>
      <c r="KS20" s="179"/>
      <c r="KT20" s="179"/>
      <c r="KU20" s="179"/>
      <c r="KV20" s="179"/>
      <c r="KW20" s="179"/>
      <c r="KX20" s="179"/>
      <c r="KY20" s="179"/>
      <c r="KZ20" s="179"/>
      <c r="LA20" s="179"/>
      <c r="LB20" s="179"/>
      <c r="LC20" s="179"/>
      <c r="LD20" s="179"/>
      <c r="LE20" s="179"/>
      <c r="LF20" s="179"/>
      <c r="LG20" s="179"/>
      <c r="LH20" s="179"/>
      <c r="LI20" s="179"/>
      <c r="LJ20" s="179"/>
      <c r="LK20" s="179"/>
      <c r="LL20" s="179"/>
      <c r="LM20" s="179"/>
      <c r="LN20" s="179"/>
      <c r="LO20" s="179"/>
      <c r="LP20" s="179"/>
      <c r="LQ20" s="179"/>
      <c r="LR20" s="179"/>
      <c r="LS20" s="179"/>
      <c r="LT20" s="179"/>
      <c r="LU20" s="179"/>
      <c r="LV20" s="179"/>
      <c r="LW20" s="179"/>
      <c r="LX20" s="179"/>
      <c r="LY20" s="179"/>
      <c r="LZ20" s="179"/>
      <c r="MA20" s="179"/>
      <c r="MB20" s="179"/>
      <c r="MC20" s="179"/>
      <c r="MD20" s="179"/>
      <c r="ME20" s="179"/>
      <c r="MF20" s="179"/>
      <c r="MG20" s="179"/>
      <c r="MH20" s="179"/>
      <c r="MI20" s="179"/>
      <c r="MJ20" s="179"/>
      <c r="MK20" s="179"/>
      <c r="ML20" s="179"/>
      <c r="MM20" s="179"/>
      <c r="MN20" s="179"/>
      <c r="MO20" s="179"/>
      <c r="MP20" s="179"/>
      <c r="MQ20" s="179"/>
      <c r="MR20" s="179"/>
      <c r="MS20" s="179"/>
      <c r="MT20" s="179"/>
      <c r="MU20" s="179"/>
      <c r="MV20" s="179"/>
      <c r="MW20" s="179"/>
      <c r="MX20" s="179"/>
      <c r="MY20" s="179"/>
      <c r="MZ20" s="179"/>
      <c r="NA20" s="179"/>
      <c r="NB20" s="179"/>
      <c r="NC20" s="179"/>
      <c r="ND20" s="179"/>
      <c r="NE20" s="179"/>
      <c r="NF20" s="179"/>
      <c r="NG20" s="179"/>
      <c r="NH20" s="179"/>
      <c r="NI20" s="179"/>
      <c r="NJ20" s="179"/>
      <c r="NK20" s="179"/>
      <c r="NL20" s="179"/>
      <c r="NM20" s="179"/>
      <c r="NN20" s="179"/>
      <c r="NO20" s="179"/>
      <c r="NP20" s="179"/>
      <c r="NQ20" s="179"/>
      <c r="NR20" s="179"/>
      <c r="NS20" s="179"/>
      <c r="NT20" s="179"/>
      <c r="NU20" s="179"/>
      <c r="NV20" s="179"/>
      <c r="NW20" s="179"/>
      <c r="NX20" s="179"/>
      <c r="NY20" s="179"/>
      <c r="NZ20" s="179"/>
      <c r="OA20" s="179"/>
      <c r="OB20" s="179"/>
      <c r="OC20" s="179"/>
      <c r="OD20" s="179"/>
      <c r="OE20" s="179"/>
      <c r="OF20" s="179"/>
      <c r="OG20" s="179"/>
      <c r="OH20" s="179"/>
      <c r="OI20" s="179"/>
      <c r="OJ20" s="179"/>
      <c r="OK20" s="179"/>
      <c r="OL20" s="179"/>
      <c r="OM20" s="179"/>
      <c r="ON20" s="179"/>
      <c r="OO20" s="179"/>
      <c r="OP20" s="179"/>
      <c r="OQ20" s="179"/>
      <c r="OR20" s="179"/>
      <c r="OS20" s="179"/>
      <c r="OT20" s="179"/>
      <c r="OU20" s="179"/>
      <c r="OV20" s="179"/>
      <c r="OW20" s="179"/>
      <c r="OX20" s="179"/>
      <c r="OY20" s="179"/>
      <c r="OZ20" s="179"/>
      <c r="PA20" s="179"/>
      <c r="PB20" s="179"/>
      <c r="PC20" s="179"/>
      <c r="PD20" s="179"/>
      <c r="PE20" s="179"/>
      <c r="PF20" s="179"/>
      <c r="PG20" s="179"/>
      <c r="PH20" s="179"/>
      <c r="PI20" s="179"/>
      <c r="PJ20" s="179"/>
      <c r="PK20" s="179"/>
      <c r="PL20" s="179"/>
      <c r="PM20" s="179"/>
      <c r="PN20" s="179"/>
      <c r="PO20" s="179"/>
      <c r="PP20" s="179"/>
      <c r="PQ20" s="179"/>
      <c r="PR20" s="179"/>
      <c r="PS20" s="179"/>
      <c r="PT20" s="179"/>
      <c r="PU20" s="179"/>
      <c r="PV20" s="179"/>
      <c r="PW20" s="179"/>
      <c r="PX20" s="179"/>
      <c r="PY20" s="179"/>
      <c r="PZ20" s="179"/>
      <c r="QA20" s="179"/>
      <c r="QB20" s="179"/>
      <c r="QC20" s="179"/>
      <c r="QD20" s="179"/>
      <c r="QE20" s="179"/>
      <c r="QF20" s="179"/>
      <c r="QG20" s="179"/>
      <c r="QH20" s="179"/>
      <c r="QI20" s="179"/>
      <c r="QJ20" s="179"/>
      <c r="QK20" s="179"/>
      <c r="QL20" s="179"/>
      <c r="QM20" s="179"/>
      <c r="QN20" s="179"/>
      <c r="QO20" s="179"/>
      <c r="QP20" s="179"/>
      <c r="QQ20" s="179"/>
      <c r="QR20" s="179"/>
      <c r="QS20" s="179"/>
      <c r="QT20" s="179"/>
      <c r="QU20" s="179"/>
      <c r="QV20" s="179"/>
      <c r="QW20" s="179"/>
      <c r="QX20" s="179"/>
      <c r="QY20" s="179"/>
      <c r="QZ20" s="179"/>
      <c r="RA20" s="179"/>
      <c r="RB20" s="179"/>
      <c r="RC20" s="179"/>
      <c r="RD20" s="179"/>
      <c r="RE20" s="179"/>
      <c r="RF20" s="179"/>
      <c r="RG20" s="179"/>
      <c r="RH20" s="179"/>
      <c r="RI20" s="179"/>
      <c r="RJ20" s="179"/>
      <c r="RK20" s="179"/>
      <c r="RL20" s="179"/>
      <c r="RM20" s="179"/>
      <c r="RN20" s="179"/>
      <c r="RO20" s="179"/>
      <c r="RP20" s="179"/>
      <c r="RQ20" s="179"/>
      <c r="RR20" s="179"/>
      <c r="RS20" s="179"/>
      <c r="RT20" s="179"/>
      <c r="RU20" s="179"/>
      <c r="RV20" s="179"/>
      <c r="RW20" s="179"/>
      <c r="RX20" s="179"/>
      <c r="RY20" s="179"/>
      <c r="RZ20" s="179"/>
      <c r="SA20" s="179"/>
      <c r="SB20" s="179"/>
      <c r="SC20" s="179"/>
      <c r="SD20" s="179"/>
      <c r="SE20" s="179"/>
      <c r="SF20" s="179"/>
      <c r="SG20" s="179"/>
      <c r="SH20" s="179"/>
      <c r="SI20" s="179"/>
      <c r="SJ20" s="179"/>
      <c r="SK20" s="179"/>
      <c r="SL20" s="179"/>
      <c r="SM20" s="179"/>
      <c r="SN20" s="179"/>
      <c r="SO20" s="179"/>
      <c r="SP20" s="179"/>
      <c r="SQ20" s="179"/>
      <c r="SR20" s="179"/>
      <c r="SS20" s="179"/>
      <c r="ST20" s="179"/>
      <c r="SU20" s="179"/>
      <c r="SV20" s="179"/>
      <c r="SW20" s="179"/>
      <c r="SX20" s="179"/>
      <c r="SY20" s="179"/>
      <c r="SZ20" s="179"/>
      <c r="TA20" s="179"/>
      <c r="TB20" s="179"/>
      <c r="TC20" s="179"/>
      <c r="TD20" s="179"/>
      <c r="TE20" s="179"/>
      <c r="TF20" s="179"/>
      <c r="TG20" s="179"/>
      <c r="TH20" s="179"/>
      <c r="TI20" s="179"/>
      <c r="TJ20" s="179"/>
      <c r="TK20" s="179"/>
      <c r="TL20" s="179"/>
      <c r="TM20" s="179"/>
      <c r="TN20" s="179"/>
      <c r="TO20" s="179"/>
      <c r="TP20" s="179"/>
      <c r="TQ20" s="179"/>
      <c r="TR20" s="179"/>
      <c r="TS20" s="179"/>
      <c r="TT20" s="179"/>
      <c r="TU20" s="179"/>
      <c r="TV20" s="179"/>
      <c r="TW20" s="179"/>
      <c r="TX20" s="179"/>
      <c r="TY20" s="179"/>
      <c r="TZ20" s="179"/>
      <c r="UA20" s="179"/>
      <c r="UB20" s="179"/>
      <c r="UC20" s="179"/>
      <c r="UD20" s="179"/>
      <c r="UE20" s="179"/>
      <c r="UF20" s="179"/>
      <c r="UG20" s="179"/>
      <c r="UH20" s="179"/>
      <c r="UI20" s="179"/>
      <c r="UJ20" s="179"/>
      <c r="UK20" s="179"/>
      <c r="UL20" s="179"/>
      <c r="UM20" s="179"/>
      <c r="UN20" s="179"/>
      <c r="UO20" s="179"/>
      <c r="UP20" s="179"/>
      <c r="UQ20" s="179"/>
      <c r="UR20" s="179"/>
      <c r="US20" s="179"/>
      <c r="UT20" s="179"/>
      <c r="UU20" s="179"/>
      <c r="UV20" s="179"/>
      <c r="UW20" s="179"/>
      <c r="UX20" s="179"/>
      <c r="UY20" s="179"/>
      <c r="UZ20" s="179"/>
      <c r="VA20" s="179"/>
      <c r="VB20" s="179"/>
      <c r="VC20" s="179"/>
      <c r="VD20" s="179"/>
      <c r="VE20" s="179"/>
      <c r="VF20" s="179"/>
      <c r="VG20" s="179"/>
      <c r="VH20" s="179"/>
      <c r="VI20" s="179"/>
      <c r="VJ20" s="179"/>
      <c r="VK20" s="179"/>
      <c r="VL20" s="179"/>
      <c r="VM20" s="179"/>
      <c r="VN20" s="179"/>
      <c r="VO20" s="179"/>
      <c r="VP20" s="179"/>
      <c r="VQ20" s="179"/>
      <c r="VR20" s="179"/>
      <c r="VS20" s="179"/>
      <c r="VT20" s="179"/>
      <c r="VU20" s="179"/>
      <c r="VV20" s="179"/>
      <c r="VW20" s="179"/>
      <c r="VX20" s="179"/>
      <c r="VY20" s="179"/>
      <c r="VZ20" s="179"/>
      <c r="WA20" s="179"/>
      <c r="WB20" s="179"/>
      <c r="WC20" s="179"/>
      <c r="WD20" s="179"/>
      <c r="WE20" s="179"/>
      <c r="WF20" s="179"/>
      <c r="WG20" s="179"/>
    </row>
    <row r="21" spans="1:605" s="122" customFormat="1" ht="17.25" x14ac:dyDescent="0.15">
      <c r="A21" s="226"/>
      <c r="B21" s="175" t="s">
        <v>398</v>
      </c>
      <c r="C21" s="176" t="s">
        <v>410</v>
      </c>
      <c r="D21" s="177">
        <v>3</v>
      </c>
      <c r="E21" s="177">
        <v>3</v>
      </c>
      <c r="F21" s="177">
        <v>3</v>
      </c>
      <c r="G21" s="177">
        <v>4</v>
      </c>
      <c r="H21" s="177">
        <v>3</v>
      </c>
      <c r="I21" s="177">
        <v>3</v>
      </c>
      <c r="J21" s="177">
        <v>3</v>
      </c>
      <c r="K21" s="177">
        <v>3</v>
      </c>
      <c r="L21" s="177">
        <v>2</v>
      </c>
      <c r="M21" s="177">
        <v>2</v>
      </c>
      <c r="N21" s="177">
        <v>3</v>
      </c>
      <c r="O21" s="177">
        <v>2</v>
      </c>
      <c r="P21" s="177">
        <v>3</v>
      </c>
      <c r="Q21" s="177">
        <v>4</v>
      </c>
      <c r="R21" s="177">
        <v>0</v>
      </c>
      <c r="S21" s="177">
        <v>4</v>
      </c>
      <c r="T21" s="177">
        <v>3</v>
      </c>
      <c r="U21" s="177">
        <v>4</v>
      </c>
      <c r="V21" s="177">
        <v>4</v>
      </c>
      <c r="W21" s="177">
        <v>3</v>
      </c>
      <c r="X21" s="177">
        <v>4</v>
      </c>
      <c r="Y21" s="177">
        <v>4</v>
      </c>
      <c r="Z21" s="177">
        <v>2</v>
      </c>
      <c r="AA21" s="177">
        <v>2</v>
      </c>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c r="BV21" s="177"/>
      <c r="BW21" s="177"/>
      <c r="BX21" s="177"/>
      <c r="BY21" s="177"/>
      <c r="BZ21" s="177"/>
      <c r="CA21" s="177"/>
      <c r="CB21" s="177"/>
      <c r="CC21" s="177"/>
      <c r="CD21" s="177"/>
      <c r="CE21" s="177"/>
      <c r="CF21" s="177"/>
      <c r="CG21" s="177"/>
      <c r="CH21" s="177"/>
      <c r="CI21" s="177"/>
      <c r="CJ21" s="177"/>
      <c r="CK21" s="177"/>
      <c r="CL21" s="177"/>
      <c r="CM21" s="177"/>
      <c r="CN21" s="177"/>
      <c r="CO21" s="177"/>
      <c r="CP21" s="177"/>
      <c r="CQ21" s="177"/>
      <c r="CR21" s="177"/>
      <c r="CS21" s="177"/>
      <c r="CT21" s="177"/>
      <c r="CU21" s="177"/>
      <c r="CV21" s="177"/>
      <c r="CW21" s="177"/>
      <c r="CX21" s="177"/>
      <c r="CY21" s="177"/>
      <c r="CZ21" s="177"/>
      <c r="DA21" s="177"/>
      <c r="DB21" s="177"/>
      <c r="DC21" s="177"/>
      <c r="DD21" s="177"/>
      <c r="DE21" s="177"/>
      <c r="DF21" s="177"/>
      <c r="DG21" s="177"/>
      <c r="DH21" s="177"/>
      <c r="DI21" s="177"/>
      <c r="DJ21" s="177"/>
      <c r="DK21" s="177"/>
      <c r="DL21" s="177"/>
      <c r="DM21" s="177"/>
      <c r="DN21" s="177"/>
      <c r="DO21" s="177"/>
      <c r="DP21" s="177"/>
      <c r="DQ21" s="177"/>
      <c r="DR21" s="177"/>
      <c r="DS21" s="177"/>
      <c r="DT21" s="177"/>
      <c r="DU21" s="177"/>
      <c r="DV21" s="177"/>
      <c r="DW21" s="177"/>
      <c r="DX21" s="177"/>
      <c r="DY21" s="177"/>
      <c r="DZ21" s="177"/>
      <c r="EA21" s="177"/>
      <c r="EB21" s="177"/>
      <c r="EC21" s="177"/>
      <c r="ED21" s="177"/>
      <c r="EE21" s="177"/>
      <c r="EF21" s="177"/>
      <c r="EG21" s="177"/>
      <c r="EH21" s="177"/>
      <c r="EI21" s="177"/>
      <c r="EJ21" s="177"/>
      <c r="EK21" s="177"/>
      <c r="EL21" s="177"/>
      <c r="EM21" s="177"/>
      <c r="EN21" s="177"/>
      <c r="EO21" s="177"/>
      <c r="EP21" s="177"/>
      <c r="EQ21" s="177"/>
      <c r="ER21" s="177"/>
      <c r="ES21" s="177"/>
      <c r="ET21" s="177"/>
      <c r="EU21" s="177"/>
      <c r="EV21" s="177"/>
      <c r="EW21" s="177"/>
      <c r="EX21" s="177"/>
      <c r="EY21" s="177"/>
      <c r="EZ21" s="177"/>
      <c r="FA21" s="177"/>
      <c r="FB21" s="177"/>
      <c r="FC21" s="177"/>
      <c r="FD21" s="177"/>
      <c r="FE21" s="177"/>
      <c r="FF21" s="177"/>
      <c r="FG21" s="177"/>
      <c r="FH21" s="177"/>
      <c r="FI21" s="177"/>
      <c r="FJ21" s="177"/>
      <c r="FK21" s="177"/>
      <c r="FL21" s="177"/>
      <c r="FM21" s="177"/>
      <c r="FN21" s="177"/>
      <c r="FO21" s="177"/>
      <c r="FP21" s="177"/>
      <c r="FQ21" s="177"/>
      <c r="FR21" s="177"/>
      <c r="FS21" s="177"/>
      <c r="FT21" s="177"/>
      <c r="FU21" s="177"/>
      <c r="FV21" s="177"/>
      <c r="FW21" s="177"/>
      <c r="FX21" s="177"/>
      <c r="FY21" s="177"/>
      <c r="FZ21" s="177"/>
      <c r="GA21" s="177"/>
      <c r="GB21" s="177"/>
      <c r="GC21" s="177"/>
      <c r="GD21" s="177"/>
      <c r="GE21" s="177"/>
      <c r="GF21" s="177"/>
      <c r="GG21" s="177"/>
      <c r="GH21" s="177"/>
      <c r="GI21" s="177"/>
      <c r="GJ21" s="177"/>
      <c r="GK21" s="177"/>
      <c r="GL21" s="177"/>
      <c r="GM21" s="177"/>
      <c r="GN21" s="177"/>
      <c r="GO21" s="177"/>
      <c r="GP21" s="177"/>
      <c r="GQ21" s="177"/>
      <c r="GR21" s="177"/>
      <c r="GS21" s="177"/>
      <c r="GT21" s="177"/>
      <c r="GU21" s="177"/>
      <c r="GV21" s="177"/>
      <c r="GW21" s="177"/>
      <c r="GX21" s="177"/>
      <c r="GY21" s="177"/>
      <c r="GZ21" s="177"/>
      <c r="HA21" s="177"/>
      <c r="HB21" s="177"/>
      <c r="HC21" s="177"/>
      <c r="HD21" s="177"/>
      <c r="HE21" s="177"/>
      <c r="HF21" s="177"/>
      <c r="HG21" s="177"/>
      <c r="HH21" s="177"/>
      <c r="HI21" s="177"/>
      <c r="HJ21" s="177"/>
      <c r="HK21" s="177"/>
      <c r="HL21" s="177"/>
      <c r="HM21" s="177"/>
      <c r="HN21" s="177"/>
      <c r="HO21" s="177"/>
      <c r="HP21" s="177"/>
      <c r="HQ21" s="177"/>
      <c r="HR21" s="177"/>
      <c r="HS21" s="177"/>
      <c r="HT21" s="177"/>
      <c r="HU21" s="177"/>
      <c r="HV21" s="177"/>
      <c r="HW21" s="177"/>
      <c r="HX21" s="177"/>
      <c r="HY21" s="177"/>
      <c r="HZ21" s="177"/>
      <c r="IA21" s="177"/>
      <c r="IB21" s="177"/>
      <c r="IC21" s="177"/>
      <c r="ID21" s="177"/>
      <c r="IE21" s="177"/>
      <c r="IF21" s="177"/>
      <c r="IG21" s="177"/>
      <c r="IH21" s="177"/>
      <c r="II21" s="177"/>
      <c r="IJ21" s="177"/>
      <c r="IK21" s="177"/>
      <c r="IL21" s="177"/>
      <c r="IM21" s="177"/>
      <c r="IN21" s="177"/>
      <c r="IO21" s="177"/>
      <c r="IP21" s="177"/>
      <c r="IQ21" s="177"/>
      <c r="IR21" s="177"/>
      <c r="IS21" s="177"/>
      <c r="IT21" s="177"/>
      <c r="IU21" s="177"/>
      <c r="IV21" s="177"/>
      <c r="IW21" s="177"/>
      <c r="IX21" s="177"/>
      <c r="IY21" s="177"/>
      <c r="IZ21" s="177"/>
      <c r="JA21" s="177"/>
      <c r="JB21" s="177"/>
      <c r="JC21" s="177"/>
      <c r="JD21" s="177"/>
      <c r="JE21" s="177"/>
      <c r="JF21" s="177"/>
      <c r="JG21" s="177"/>
      <c r="JH21" s="177"/>
      <c r="JI21" s="177"/>
      <c r="JJ21" s="177"/>
      <c r="JK21" s="177"/>
      <c r="JL21" s="177"/>
      <c r="JM21" s="177"/>
      <c r="JN21" s="177"/>
      <c r="JO21" s="177"/>
      <c r="JP21" s="177"/>
      <c r="JQ21" s="177"/>
      <c r="JR21" s="177"/>
      <c r="JS21" s="177"/>
      <c r="JT21" s="177"/>
      <c r="JU21" s="177"/>
      <c r="JV21" s="177"/>
      <c r="JW21" s="177"/>
      <c r="JX21" s="177"/>
      <c r="JY21" s="177"/>
      <c r="JZ21" s="177"/>
      <c r="KA21" s="177"/>
      <c r="KB21" s="177"/>
      <c r="KC21" s="177"/>
      <c r="KD21" s="177"/>
      <c r="KE21" s="177"/>
      <c r="KF21" s="177"/>
      <c r="KG21" s="177"/>
      <c r="KH21" s="177"/>
      <c r="KI21" s="177"/>
      <c r="KJ21" s="177"/>
      <c r="KK21" s="177"/>
      <c r="KL21" s="177"/>
      <c r="KM21" s="177"/>
      <c r="KN21" s="177"/>
      <c r="KO21" s="177"/>
      <c r="KP21" s="177"/>
      <c r="KQ21" s="177"/>
      <c r="KR21" s="177"/>
      <c r="KS21" s="177"/>
      <c r="KT21" s="177"/>
      <c r="KU21" s="177"/>
      <c r="KV21" s="177"/>
      <c r="KW21" s="177"/>
      <c r="KX21" s="177"/>
      <c r="KY21" s="177"/>
      <c r="KZ21" s="177"/>
      <c r="LA21" s="177"/>
      <c r="LB21" s="177"/>
      <c r="LC21" s="177"/>
      <c r="LD21" s="177"/>
      <c r="LE21" s="177"/>
      <c r="LF21" s="177"/>
      <c r="LG21" s="177"/>
      <c r="LH21" s="177"/>
      <c r="LI21" s="177"/>
      <c r="LJ21" s="177"/>
      <c r="LK21" s="177"/>
      <c r="LL21" s="177"/>
      <c r="LM21" s="177"/>
      <c r="LN21" s="177"/>
      <c r="LO21" s="177"/>
      <c r="LP21" s="177"/>
      <c r="LQ21" s="177"/>
      <c r="LR21" s="177"/>
      <c r="LS21" s="177"/>
      <c r="LT21" s="177"/>
      <c r="LU21" s="177"/>
      <c r="LV21" s="177"/>
      <c r="LW21" s="177"/>
      <c r="LX21" s="177"/>
      <c r="LY21" s="177"/>
      <c r="LZ21" s="177"/>
      <c r="MA21" s="177"/>
      <c r="MB21" s="177"/>
      <c r="MC21" s="177"/>
      <c r="MD21" s="177"/>
      <c r="ME21" s="177"/>
      <c r="MF21" s="177"/>
      <c r="MG21" s="177"/>
      <c r="MH21" s="177"/>
      <c r="MI21" s="177"/>
      <c r="MJ21" s="177"/>
      <c r="MK21" s="177"/>
      <c r="ML21" s="177"/>
      <c r="MM21" s="177"/>
      <c r="MN21" s="177"/>
      <c r="MO21" s="177"/>
      <c r="MP21" s="177"/>
      <c r="MQ21" s="177"/>
      <c r="MR21" s="177"/>
      <c r="MS21" s="177"/>
      <c r="MT21" s="177"/>
      <c r="MU21" s="177"/>
      <c r="MV21" s="177"/>
      <c r="MW21" s="177"/>
      <c r="MX21" s="177"/>
      <c r="MY21" s="177"/>
      <c r="MZ21" s="177"/>
      <c r="NA21" s="177"/>
      <c r="NB21" s="177"/>
      <c r="NC21" s="177"/>
      <c r="ND21" s="177"/>
      <c r="NE21" s="177"/>
      <c r="NF21" s="177"/>
      <c r="NG21" s="177"/>
      <c r="NH21" s="177"/>
      <c r="NI21" s="177"/>
      <c r="NJ21" s="177"/>
      <c r="NK21" s="177"/>
      <c r="NL21" s="177"/>
      <c r="NM21" s="177"/>
      <c r="NN21" s="177"/>
      <c r="NO21" s="177"/>
      <c r="NP21" s="177"/>
      <c r="NQ21" s="177"/>
      <c r="NR21" s="177"/>
      <c r="NS21" s="177"/>
      <c r="NT21" s="177"/>
      <c r="NU21" s="177"/>
      <c r="NV21" s="177"/>
      <c r="NW21" s="177"/>
      <c r="NX21" s="177"/>
      <c r="NY21" s="177"/>
      <c r="NZ21" s="177"/>
      <c r="OA21" s="177"/>
      <c r="OB21" s="177"/>
      <c r="OC21" s="177"/>
      <c r="OD21" s="177"/>
      <c r="OE21" s="177"/>
      <c r="OF21" s="177"/>
      <c r="OG21" s="177"/>
      <c r="OH21" s="177"/>
      <c r="OI21" s="177"/>
      <c r="OJ21" s="177"/>
      <c r="OK21" s="177"/>
      <c r="OL21" s="177"/>
      <c r="OM21" s="177"/>
      <c r="ON21" s="177"/>
      <c r="OO21" s="177"/>
      <c r="OP21" s="177"/>
      <c r="OQ21" s="177"/>
      <c r="OR21" s="177"/>
      <c r="OS21" s="177"/>
      <c r="OT21" s="177"/>
      <c r="OU21" s="177"/>
      <c r="OV21" s="177"/>
      <c r="OW21" s="177"/>
      <c r="OX21" s="177"/>
      <c r="OY21" s="177"/>
      <c r="OZ21" s="177"/>
      <c r="PA21" s="177"/>
      <c r="PB21" s="177"/>
      <c r="PC21" s="177"/>
      <c r="PD21" s="177"/>
      <c r="PE21" s="177"/>
      <c r="PF21" s="177"/>
      <c r="PG21" s="177"/>
      <c r="PH21" s="177"/>
      <c r="PI21" s="177"/>
      <c r="PJ21" s="177"/>
      <c r="PK21" s="177"/>
      <c r="PL21" s="177"/>
      <c r="PM21" s="177"/>
      <c r="PN21" s="177"/>
      <c r="PO21" s="177"/>
      <c r="PP21" s="177"/>
      <c r="PQ21" s="177"/>
      <c r="PR21" s="177"/>
      <c r="PS21" s="177"/>
      <c r="PT21" s="177"/>
      <c r="PU21" s="177"/>
      <c r="PV21" s="177"/>
      <c r="PW21" s="177"/>
      <c r="PX21" s="177"/>
      <c r="PY21" s="177"/>
      <c r="PZ21" s="177"/>
      <c r="QA21" s="177"/>
      <c r="QB21" s="177"/>
      <c r="QC21" s="177"/>
      <c r="QD21" s="177"/>
      <c r="QE21" s="177"/>
      <c r="QF21" s="177"/>
      <c r="QG21" s="177"/>
      <c r="QH21" s="177"/>
      <c r="QI21" s="177"/>
      <c r="QJ21" s="177"/>
      <c r="QK21" s="177"/>
      <c r="QL21" s="177"/>
      <c r="QM21" s="177"/>
      <c r="QN21" s="177"/>
      <c r="QO21" s="177"/>
      <c r="QP21" s="177"/>
      <c r="QQ21" s="177"/>
      <c r="QR21" s="177"/>
      <c r="QS21" s="177"/>
      <c r="QT21" s="177"/>
      <c r="QU21" s="177"/>
      <c r="QV21" s="177"/>
      <c r="QW21" s="177"/>
      <c r="QX21" s="177"/>
      <c r="QY21" s="177"/>
      <c r="QZ21" s="177"/>
      <c r="RA21" s="177"/>
      <c r="RB21" s="177"/>
      <c r="RC21" s="177"/>
      <c r="RD21" s="177"/>
      <c r="RE21" s="177"/>
      <c r="RF21" s="177"/>
      <c r="RG21" s="177"/>
      <c r="RH21" s="177"/>
      <c r="RI21" s="177"/>
      <c r="RJ21" s="177"/>
      <c r="RK21" s="177"/>
      <c r="RL21" s="177"/>
      <c r="RM21" s="177"/>
      <c r="RN21" s="177"/>
      <c r="RO21" s="177"/>
      <c r="RP21" s="177"/>
      <c r="RQ21" s="177"/>
      <c r="RR21" s="177"/>
      <c r="RS21" s="177"/>
      <c r="RT21" s="177"/>
      <c r="RU21" s="177"/>
      <c r="RV21" s="177"/>
      <c r="RW21" s="177"/>
      <c r="RX21" s="177"/>
      <c r="RY21" s="177"/>
      <c r="RZ21" s="177"/>
      <c r="SA21" s="177"/>
      <c r="SB21" s="177"/>
      <c r="SC21" s="177"/>
      <c r="SD21" s="177"/>
      <c r="SE21" s="177"/>
      <c r="SF21" s="177"/>
      <c r="SG21" s="177"/>
      <c r="SH21" s="177"/>
      <c r="SI21" s="177"/>
      <c r="SJ21" s="177"/>
      <c r="SK21" s="177"/>
      <c r="SL21" s="177"/>
      <c r="SM21" s="177"/>
      <c r="SN21" s="177"/>
      <c r="SO21" s="177"/>
      <c r="SP21" s="177"/>
      <c r="SQ21" s="177"/>
      <c r="SR21" s="177"/>
      <c r="SS21" s="177"/>
      <c r="ST21" s="177"/>
      <c r="SU21" s="177"/>
      <c r="SV21" s="177"/>
      <c r="SW21" s="177"/>
      <c r="SX21" s="177"/>
      <c r="SY21" s="177"/>
      <c r="SZ21" s="177"/>
      <c r="TA21" s="177"/>
      <c r="TB21" s="177"/>
      <c r="TC21" s="177"/>
      <c r="TD21" s="177"/>
      <c r="TE21" s="177"/>
      <c r="TF21" s="177"/>
      <c r="TG21" s="177"/>
      <c r="TH21" s="177"/>
      <c r="TI21" s="177"/>
      <c r="TJ21" s="177"/>
      <c r="TK21" s="177"/>
      <c r="TL21" s="177"/>
      <c r="TM21" s="177"/>
      <c r="TN21" s="177"/>
      <c r="TO21" s="177"/>
      <c r="TP21" s="177"/>
      <c r="TQ21" s="177"/>
      <c r="TR21" s="177"/>
      <c r="TS21" s="177"/>
      <c r="TT21" s="177"/>
      <c r="TU21" s="177"/>
      <c r="TV21" s="177"/>
      <c r="TW21" s="177"/>
      <c r="TX21" s="177"/>
      <c r="TY21" s="177"/>
      <c r="TZ21" s="177"/>
      <c r="UA21" s="177"/>
      <c r="UB21" s="177"/>
      <c r="UC21" s="177"/>
      <c r="UD21" s="177"/>
      <c r="UE21" s="177"/>
      <c r="UF21" s="177"/>
      <c r="UG21" s="177"/>
      <c r="UH21" s="177"/>
      <c r="UI21" s="177"/>
      <c r="UJ21" s="177"/>
      <c r="UK21" s="177"/>
      <c r="UL21" s="177"/>
      <c r="UM21" s="177"/>
      <c r="UN21" s="177"/>
      <c r="UO21" s="177"/>
      <c r="UP21" s="177"/>
      <c r="UQ21" s="177"/>
      <c r="UR21" s="177"/>
      <c r="US21" s="177"/>
      <c r="UT21" s="177"/>
      <c r="UU21" s="177"/>
      <c r="UV21" s="177"/>
      <c r="UW21" s="177"/>
      <c r="UX21" s="177"/>
      <c r="UY21" s="177"/>
      <c r="UZ21" s="177"/>
      <c r="VA21" s="177"/>
      <c r="VB21" s="177"/>
      <c r="VC21" s="177"/>
      <c r="VD21" s="177"/>
      <c r="VE21" s="177"/>
      <c r="VF21" s="177"/>
      <c r="VG21" s="177"/>
      <c r="VH21" s="177"/>
      <c r="VI21" s="177"/>
      <c r="VJ21" s="177"/>
      <c r="VK21" s="177"/>
      <c r="VL21" s="177"/>
      <c r="VM21" s="177"/>
      <c r="VN21" s="177"/>
      <c r="VO21" s="177"/>
      <c r="VP21" s="177"/>
      <c r="VQ21" s="177"/>
      <c r="VR21" s="177"/>
      <c r="VS21" s="177"/>
      <c r="VT21" s="177"/>
      <c r="VU21" s="177"/>
      <c r="VV21" s="177"/>
      <c r="VW21" s="177"/>
      <c r="VX21" s="177"/>
      <c r="VY21" s="177"/>
      <c r="VZ21" s="177"/>
      <c r="WA21" s="177"/>
      <c r="WB21" s="177"/>
      <c r="WC21" s="177"/>
      <c r="WD21" s="177"/>
      <c r="WE21" s="177"/>
      <c r="WF21" s="177"/>
      <c r="WG21" s="177"/>
    </row>
    <row r="22" spans="1:605" s="123" customFormat="1" ht="61.5" customHeight="1" x14ac:dyDescent="0.25">
      <c r="A22" s="226"/>
      <c r="B22" s="180" t="s">
        <v>292</v>
      </c>
      <c r="C22" s="181"/>
      <c r="D22" s="182"/>
      <c r="E22" s="182"/>
      <c r="F22" s="182"/>
      <c r="G22" s="182"/>
      <c r="H22" s="182"/>
      <c r="I22" s="182"/>
      <c r="J22" s="182"/>
      <c r="K22" s="182"/>
      <c r="L22" s="182"/>
      <c r="M22" s="182"/>
      <c r="N22" s="182"/>
      <c r="O22" s="182"/>
      <c r="P22" s="182"/>
      <c r="Q22" s="182"/>
      <c r="R22" s="182"/>
      <c r="S22" s="182"/>
      <c r="T22" s="182"/>
      <c r="U22" s="182"/>
      <c r="V22" s="182"/>
      <c r="W22" s="182"/>
      <c r="X22" s="182"/>
      <c r="Y22" s="185" t="s">
        <v>482</v>
      </c>
      <c r="Z22" s="182"/>
      <c r="AA22" s="182"/>
      <c r="AB22" s="182"/>
      <c r="AC22" s="182"/>
      <c r="AD22" s="182"/>
      <c r="AE22" s="182"/>
      <c r="AF22" s="182"/>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2"/>
      <c r="BC22" s="182"/>
      <c r="BD22" s="182"/>
      <c r="BE22" s="182"/>
      <c r="BF22" s="182"/>
      <c r="BG22" s="182"/>
      <c r="BH22" s="182"/>
      <c r="BI22" s="182"/>
      <c r="BJ22" s="182"/>
      <c r="BK22" s="182"/>
      <c r="BL22" s="182"/>
      <c r="BM22" s="182"/>
      <c r="BN22" s="182"/>
      <c r="BO22" s="182"/>
      <c r="BP22" s="182"/>
      <c r="BQ22" s="182"/>
      <c r="BR22" s="182"/>
      <c r="BS22" s="182"/>
      <c r="BT22" s="182"/>
      <c r="BU22" s="182"/>
      <c r="BV22" s="182"/>
      <c r="BW22" s="182"/>
      <c r="BX22" s="182"/>
      <c r="BY22" s="182"/>
      <c r="BZ22" s="182"/>
      <c r="CA22" s="182"/>
      <c r="CB22" s="182"/>
      <c r="CC22" s="182"/>
      <c r="CD22" s="182"/>
      <c r="CE22" s="182"/>
      <c r="CF22" s="182"/>
      <c r="CG22" s="182"/>
      <c r="CH22" s="182"/>
      <c r="CI22" s="182"/>
      <c r="CJ22" s="182"/>
      <c r="CK22" s="182"/>
      <c r="CL22" s="182"/>
      <c r="CM22" s="182"/>
      <c r="CN22" s="182"/>
      <c r="CO22" s="182"/>
      <c r="CP22" s="182"/>
      <c r="CQ22" s="182"/>
      <c r="CR22" s="182"/>
      <c r="CS22" s="182"/>
      <c r="CT22" s="182"/>
      <c r="CU22" s="182"/>
      <c r="CV22" s="182"/>
      <c r="CW22" s="182"/>
      <c r="CX22" s="182"/>
      <c r="CY22" s="182"/>
      <c r="CZ22" s="182"/>
      <c r="DA22" s="182"/>
      <c r="DB22" s="182"/>
      <c r="DC22" s="182"/>
      <c r="DD22" s="182"/>
      <c r="DE22" s="182"/>
      <c r="DF22" s="182"/>
      <c r="DG22" s="182"/>
      <c r="DH22" s="182"/>
      <c r="DI22" s="182"/>
      <c r="DJ22" s="182"/>
      <c r="DK22" s="182"/>
      <c r="DL22" s="182"/>
      <c r="DM22" s="182"/>
      <c r="DN22" s="182"/>
      <c r="DO22" s="182"/>
      <c r="DP22" s="182"/>
      <c r="DQ22" s="182"/>
      <c r="DR22" s="182"/>
      <c r="DS22" s="182"/>
      <c r="DT22" s="182"/>
      <c r="DU22" s="182"/>
      <c r="DV22" s="182"/>
      <c r="DW22" s="182"/>
      <c r="DX22" s="182"/>
      <c r="DY22" s="182"/>
      <c r="DZ22" s="182"/>
      <c r="EA22" s="182"/>
      <c r="EB22" s="182"/>
      <c r="EC22" s="182"/>
      <c r="ED22" s="182"/>
      <c r="EE22" s="182"/>
      <c r="EF22" s="182"/>
      <c r="EG22" s="182"/>
      <c r="EH22" s="182"/>
      <c r="EI22" s="182"/>
      <c r="EJ22" s="182"/>
      <c r="EK22" s="182"/>
      <c r="EL22" s="182"/>
      <c r="EM22" s="182"/>
      <c r="EN22" s="182"/>
      <c r="EO22" s="182"/>
      <c r="EP22" s="182"/>
      <c r="EQ22" s="182"/>
      <c r="ER22" s="182"/>
      <c r="ES22" s="182"/>
      <c r="ET22" s="182"/>
      <c r="EU22" s="182"/>
      <c r="EV22" s="182"/>
      <c r="EW22" s="182"/>
      <c r="EX22" s="182"/>
      <c r="EY22" s="182"/>
      <c r="EZ22" s="182"/>
      <c r="FA22" s="182"/>
      <c r="FB22" s="182"/>
      <c r="FC22" s="182"/>
      <c r="FD22" s="182"/>
      <c r="FE22" s="182"/>
      <c r="FF22" s="182"/>
      <c r="FG22" s="182"/>
      <c r="FH22" s="182"/>
      <c r="FI22" s="182"/>
      <c r="FJ22" s="182"/>
      <c r="FK22" s="182"/>
      <c r="FL22" s="182"/>
      <c r="FM22" s="182"/>
      <c r="FN22" s="182"/>
      <c r="FO22" s="182"/>
      <c r="FP22" s="182"/>
      <c r="FQ22" s="182"/>
      <c r="FR22" s="182"/>
      <c r="FS22" s="182"/>
      <c r="FT22" s="182"/>
      <c r="FU22" s="182"/>
      <c r="FV22" s="182"/>
      <c r="FW22" s="182"/>
      <c r="FX22" s="182"/>
      <c r="FY22" s="182"/>
      <c r="FZ22" s="182"/>
      <c r="GA22" s="182"/>
      <c r="GB22" s="182"/>
      <c r="GC22" s="182"/>
      <c r="GD22" s="182"/>
      <c r="GE22" s="182"/>
      <c r="GF22" s="182"/>
      <c r="GG22" s="182"/>
      <c r="GH22" s="182"/>
      <c r="GI22" s="182"/>
      <c r="GJ22" s="182"/>
      <c r="GK22" s="182"/>
      <c r="GL22" s="182"/>
      <c r="GM22" s="182"/>
      <c r="GN22" s="182"/>
      <c r="GO22" s="182"/>
      <c r="GP22" s="182"/>
      <c r="GQ22" s="182"/>
      <c r="GR22" s="182"/>
      <c r="GS22" s="182"/>
      <c r="GT22" s="182"/>
      <c r="GU22" s="182"/>
      <c r="GV22" s="182"/>
      <c r="GW22" s="182"/>
      <c r="GX22" s="182"/>
      <c r="GY22" s="182"/>
      <c r="GZ22" s="182"/>
      <c r="HA22" s="182"/>
      <c r="HB22" s="182"/>
      <c r="HC22" s="182"/>
      <c r="HD22" s="182"/>
      <c r="HE22" s="182"/>
      <c r="HF22" s="182"/>
      <c r="HG22" s="182"/>
      <c r="HH22" s="182"/>
      <c r="HI22" s="182"/>
      <c r="HJ22" s="182"/>
      <c r="HK22" s="182"/>
      <c r="HL22" s="182"/>
      <c r="HM22" s="182"/>
      <c r="HN22" s="182"/>
      <c r="HO22" s="182"/>
      <c r="HP22" s="182"/>
      <c r="HQ22" s="182"/>
      <c r="HR22" s="182"/>
      <c r="HS22" s="182"/>
      <c r="HT22" s="182"/>
      <c r="HU22" s="182"/>
      <c r="HV22" s="182"/>
      <c r="HW22" s="182"/>
      <c r="HX22" s="182"/>
      <c r="HY22" s="182"/>
      <c r="HZ22" s="182"/>
      <c r="IA22" s="182"/>
      <c r="IB22" s="182"/>
      <c r="IC22" s="182"/>
      <c r="ID22" s="182"/>
      <c r="IE22" s="182"/>
      <c r="IF22" s="182"/>
      <c r="IG22" s="182"/>
      <c r="IH22" s="182"/>
      <c r="II22" s="182"/>
      <c r="IJ22" s="182"/>
      <c r="IK22" s="182"/>
      <c r="IL22" s="182"/>
      <c r="IM22" s="182"/>
      <c r="IN22" s="182"/>
      <c r="IO22" s="182"/>
      <c r="IP22" s="182"/>
      <c r="IQ22" s="182"/>
      <c r="IR22" s="182"/>
      <c r="IS22" s="182"/>
      <c r="IT22" s="182"/>
      <c r="IU22" s="182"/>
      <c r="IV22" s="182"/>
      <c r="IW22" s="182"/>
      <c r="IX22" s="182"/>
      <c r="IY22" s="182"/>
      <c r="IZ22" s="182"/>
      <c r="JA22" s="182"/>
      <c r="JB22" s="182"/>
      <c r="JC22" s="182"/>
      <c r="JD22" s="182"/>
      <c r="JE22" s="182"/>
      <c r="JF22" s="182"/>
      <c r="JG22" s="182"/>
      <c r="JH22" s="182"/>
      <c r="JI22" s="182"/>
      <c r="JJ22" s="182"/>
      <c r="JK22" s="182"/>
      <c r="JL22" s="182"/>
      <c r="JM22" s="182"/>
      <c r="JN22" s="182"/>
      <c r="JO22" s="182"/>
      <c r="JP22" s="182"/>
      <c r="JQ22" s="182"/>
      <c r="JR22" s="182"/>
      <c r="JS22" s="182"/>
      <c r="JT22" s="182"/>
      <c r="JU22" s="182"/>
      <c r="JV22" s="182"/>
      <c r="JW22" s="182"/>
      <c r="JX22" s="182"/>
      <c r="JY22" s="182"/>
      <c r="JZ22" s="182"/>
      <c r="KA22" s="182"/>
      <c r="KB22" s="182"/>
      <c r="KC22" s="182"/>
      <c r="KD22" s="182"/>
      <c r="KE22" s="182"/>
      <c r="KF22" s="182"/>
      <c r="KG22" s="182"/>
      <c r="KH22" s="182"/>
      <c r="KI22" s="182"/>
      <c r="KJ22" s="182"/>
      <c r="KK22" s="182"/>
      <c r="KL22" s="182"/>
      <c r="KM22" s="182"/>
      <c r="KN22" s="182"/>
      <c r="KO22" s="182"/>
      <c r="KP22" s="182"/>
      <c r="KQ22" s="182"/>
      <c r="KR22" s="182"/>
      <c r="KS22" s="182"/>
      <c r="KT22" s="182"/>
      <c r="KU22" s="182"/>
      <c r="KV22" s="182"/>
      <c r="KW22" s="182"/>
      <c r="KX22" s="182"/>
      <c r="KY22" s="182"/>
      <c r="KZ22" s="182"/>
      <c r="LA22" s="182"/>
      <c r="LB22" s="182"/>
      <c r="LC22" s="182"/>
      <c r="LD22" s="182"/>
      <c r="LE22" s="182"/>
      <c r="LF22" s="182"/>
      <c r="LG22" s="182"/>
      <c r="LH22" s="182"/>
      <c r="LI22" s="182"/>
      <c r="LJ22" s="182"/>
      <c r="LK22" s="182"/>
      <c r="LL22" s="182"/>
      <c r="LM22" s="182"/>
      <c r="LN22" s="182"/>
      <c r="LO22" s="182"/>
      <c r="LP22" s="182"/>
      <c r="LQ22" s="182"/>
      <c r="LR22" s="182"/>
      <c r="LS22" s="182"/>
      <c r="LT22" s="182"/>
      <c r="LU22" s="182"/>
      <c r="LV22" s="182"/>
      <c r="LW22" s="182"/>
      <c r="LX22" s="182"/>
      <c r="LY22" s="182"/>
      <c r="LZ22" s="182"/>
      <c r="MA22" s="182"/>
      <c r="MB22" s="182"/>
      <c r="MC22" s="182"/>
      <c r="MD22" s="182"/>
      <c r="ME22" s="182"/>
      <c r="MF22" s="182"/>
      <c r="MG22" s="182"/>
      <c r="MH22" s="182"/>
      <c r="MI22" s="182"/>
      <c r="MJ22" s="182"/>
      <c r="MK22" s="182"/>
      <c r="ML22" s="182"/>
      <c r="MM22" s="182"/>
      <c r="MN22" s="182"/>
      <c r="MO22" s="182"/>
      <c r="MP22" s="182"/>
      <c r="MQ22" s="182"/>
      <c r="MR22" s="182"/>
      <c r="MS22" s="182"/>
      <c r="MT22" s="182"/>
      <c r="MU22" s="182"/>
      <c r="MV22" s="182"/>
      <c r="MW22" s="182"/>
      <c r="MX22" s="182"/>
      <c r="MY22" s="182"/>
      <c r="MZ22" s="182"/>
      <c r="NA22" s="182"/>
      <c r="NB22" s="182"/>
      <c r="NC22" s="182"/>
      <c r="ND22" s="182"/>
      <c r="NE22" s="182"/>
      <c r="NF22" s="182"/>
      <c r="NG22" s="182"/>
      <c r="NH22" s="182"/>
      <c r="NI22" s="182"/>
      <c r="NJ22" s="182"/>
      <c r="NK22" s="182"/>
      <c r="NL22" s="182"/>
      <c r="NM22" s="182"/>
      <c r="NN22" s="182"/>
      <c r="NO22" s="182"/>
      <c r="NP22" s="182"/>
      <c r="NQ22" s="182"/>
      <c r="NR22" s="182"/>
      <c r="NS22" s="182"/>
      <c r="NT22" s="182"/>
      <c r="NU22" s="182"/>
      <c r="NV22" s="182"/>
      <c r="NW22" s="182"/>
      <c r="NX22" s="182"/>
      <c r="NY22" s="182"/>
      <c r="NZ22" s="182"/>
      <c r="OA22" s="182"/>
      <c r="OB22" s="182"/>
      <c r="OC22" s="182"/>
      <c r="OD22" s="182"/>
      <c r="OE22" s="182"/>
      <c r="OF22" s="182"/>
      <c r="OG22" s="182"/>
      <c r="OH22" s="182"/>
      <c r="OI22" s="182"/>
      <c r="OJ22" s="182"/>
      <c r="OK22" s="182"/>
      <c r="OL22" s="182"/>
      <c r="OM22" s="182"/>
      <c r="ON22" s="182"/>
      <c r="OO22" s="182"/>
      <c r="OP22" s="182"/>
      <c r="OQ22" s="182"/>
      <c r="OR22" s="182"/>
      <c r="OS22" s="182"/>
      <c r="OT22" s="182"/>
      <c r="OU22" s="182"/>
      <c r="OV22" s="182"/>
      <c r="OW22" s="182"/>
      <c r="OX22" s="182"/>
      <c r="OY22" s="182"/>
      <c r="OZ22" s="182"/>
      <c r="PA22" s="182"/>
      <c r="PB22" s="182"/>
      <c r="PC22" s="182"/>
      <c r="PD22" s="182"/>
      <c r="PE22" s="182"/>
      <c r="PF22" s="182"/>
      <c r="PG22" s="182"/>
      <c r="PH22" s="182"/>
      <c r="PI22" s="182"/>
      <c r="PJ22" s="182"/>
      <c r="PK22" s="182"/>
      <c r="PL22" s="182"/>
      <c r="PM22" s="182"/>
      <c r="PN22" s="182"/>
      <c r="PO22" s="182"/>
      <c r="PP22" s="182"/>
      <c r="PQ22" s="182"/>
      <c r="PR22" s="182"/>
      <c r="PS22" s="182"/>
      <c r="PT22" s="182"/>
      <c r="PU22" s="182"/>
      <c r="PV22" s="182"/>
      <c r="PW22" s="182"/>
      <c r="PX22" s="182"/>
      <c r="PY22" s="182"/>
      <c r="PZ22" s="182"/>
      <c r="QA22" s="182"/>
      <c r="QB22" s="182"/>
      <c r="QC22" s="182"/>
      <c r="QD22" s="182"/>
      <c r="QE22" s="182"/>
      <c r="QF22" s="182"/>
      <c r="QG22" s="182"/>
      <c r="QH22" s="182"/>
      <c r="QI22" s="182"/>
      <c r="QJ22" s="182"/>
      <c r="QK22" s="182"/>
      <c r="QL22" s="182"/>
      <c r="QM22" s="182"/>
      <c r="QN22" s="182"/>
      <c r="QO22" s="182"/>
      <c r="QP22" s="182"/>
      <c r="QQ22" s="182"/>
      <c r="QR22" s="182"/>
      <c r="QS22" s="182"/>
      <c r="QT22" s="182"/>
      <c r="QU22" s="182"/>
      <c r="QV22" s="182"/>
      <c r="QW22" s="182"/>
      <c r="QX22" s="182"/>
      <c r="QY22" s="182"/>
      <c r="QZ22" s="182"/>
      <c r="RA22" s="182"/>
      <c r="RB22" s="182"/>
      <c r="RC22" s="182"/>
      <c r="RD22" s="182"/>
      <c r="RE22" s="182"/>
      <c r="RF22" s="182"/>
      <c r="RG22" s="182"/>
      <c r="RH22" s="182"/>
      <c r="RI22" s="182"/>
      <c r="RJ22" s="182"/>
      <c r="RK22" s="182"/>
      <c r="RL22" s="182"/>
      <c r="RM22" s="182"/>
      <c r="RN22" s="182"/>
      <c r="RO22" s="182"/>
      <c r="RP22" s="182"/>
      <c r="RQ22" s="182"/>
      <c r="RR22" s="182"/>
      <c r="RS22" s="182"/>
      <c r="RT22" s="182"/>
      <c r="RU22" s="182"/>
      <c r="RV22" s="182"/>
      <c r="RW22" s="182"/>
      <c r="RX22" s="182"/>
      <c r="RY22" s="182"/>
      <c r="RZ22" s="182"/>
      <c r="SA22" s="182"/>
      <c r="SB22" s="182"/>
      <c r="SC22" s="182"/>
      <c r="SD22" s="182"/>
      <c r="SE22" s="182"/>
      <c r="SF22" s="182"/>
      <c r="SG22" s="182"/>
      <c r="SH22" s="182"/>
      <c r="SI22" s="182"/>
      <c r="SJ22" s="182"/>
      <c r="SK22" s="182"/>
      <c r="SL22" s="182"/>
      <c r="SM22" s="182"/>
      <c r="SN22" s="182"/>
      <c r="SO22" s="182"/>
      <c r="SP22" s="182"/>
      <c r="SQ22" s="182"/>
      <c r="SR22" s="182"/>
      <c r="SS22" s="182"/>
      <c r="ST22" s="182"/>
      <c r="SU22" s="182"/>
      <c r="SV22" s="182"/>
      <c r="SW22" s="182"/>
      <c r="SX22" s="182"/>
      <c r="SY22" s="182"/>
      <c r="SZ22" s="182"/>
      <c r="TA22" s="182"/>
      <c r="TB22" s="182"/>
      <c r="TC22" s="182"/>
      <c r="TD22" s="182"/>
      <c r="TE22" s="182"/>
      <c r="TF22" s="182"/>
      <c r="TG22" s="182"/>
      <c r="TH22" s="182"/>
      <c r="TI22" s="182"/>
      <c r="TJ22" s="182"/>
      <c r="TK22" s="182"/>
      <c r="TL22" s="182"/>
      <c r="TM22" s="182"/>
      <c r="TN22" s="182"/>
      <c r="TO22" s="182"/>
      <c r="TP22" s="182"/>
      <c r="TQ22" s="182"/>
      <c r="TR22" s="182"/>
      <c r="TS22" s="182"/>
      <c r="TT22" s="182"/>
      <c r="TU22" s="182"/>
      <c r="TV22" s="182"/>
      <c r="TW22" s="182"/>
      <c r="TX22" s="182"/>
      <c r="TY22" s="182"/>
      <c r="TZ22" s="182"/>
      <c r="UA22" s="182"/>
      <c r="UB22" s="182"/>
      <c r="UC22" s="182"/>
      <c r="UD22" s="182"/>
      <c r="UE22" s="182"/>
      <c r="UF22" s="182"/>
      <c r="UG22" s="182"/>
      <c r="UH22" s="182"/>
      <c r="UI22" s="182"/>
      <c r="UJ22" s="182"/>
      <c r="UK22" s="182"/>
      <c r="UL22" s="182"/>
      <c r="UM22" s="182"/>
      <c r="UN22" s="182"/>
      <c r="UO22" s="182"/>
      <c r="UP22" s="182"/>
      <c r="UQ22" s="182"/>
      <c r="UR22" s="182"/>
      <c r="US22" s="182"/>
      <c r="UT22" s="182"/>
      <c r="UU22" s="182"/>
      <c r="UV22" s="182"/>
      <c r="UW22" s="182"/>
      <c r="UX22" s="182"/>
      <c r="UY22" s="182"/>
      <c r="UZ22" s="182"/>
      <c r="VA22" s="182"/>
      <c r="VB22" s="182"/>
      <c r="VC22" s="182"/>
      <c r="VD22" s="182"/>
      <c r="VE22" s="182"/>
      <c r="VF22" s="182"/>
      <c r="VG22" s="182"/>
      <c r="VH22" s="182"/>
      <c r="VI22" s="182"/>
      <c r="VJ22" s="182"/>
      <c r="VK22" s="182"/>
      <c r="VL22" s="182"/>
      <c r="VM22" s="182"/>
      <c r="VN22" s="182"/>
      <c r="VO22" s="182"/>
      <c r="VP22" s="182"/>
      <c r="VQ22" s="182"/>
      <c r="VR22" s="182"/>
      <c r="VS22" s="182"/>
      <c r="VT22" s="182"/>
      <c r="VU22" s="182"/>
      <c r="VV22" s="182"/>
      <c r="VW22" s="182"/>
      <c r="VX22" s="182"/>
      <c r="VY22" s="182"/>
      <c r="VZ22" s="182"/>
      <c r="WA22" s="182"/>
      <c r="WB22" s="182"/>
      <c r="WC22" s="182"/>
      <c r="WD22" s="182"/>
      <c r="WE22" s="182"/>
      <c r="WF22" s="182"/>
      <c r="WG22" s="182"/>
    </row>
    <row r="23" spans="1:605" s="123" customFormat="1" ht="95.25" customHeight="1" thickBot="1" x14ac:dyDescent="0.3">
      <c r="A23" s="227"/>
      <c r="B23" s="183" t="s">
        <v>286</v>
      </c>
      <c r="C23" s="184"/>
      <c r="D23" s="185" t="s">
        <v>452</v>
      </c>
      <c r="E23" s="185" t="s">
        <v>453</v>
      </c>
      <c r="F23" s="185"/>
      <c r="G23" s="185"/>
      <c r="H23" s="185"/>
      <c r="I23" s="185"/>
      <c r="J23" s="185"/>
      <c r="K23" s="185"/>
      <c r="L23" s="185"/>
      <c r="M23" s="185"/>
      <c r="N23" s="185"/>
      <c r="O23" s="185"/>
      <c r="P23" s="185"/>
      <c r="Q23" s="185" t="s">
        <v>462</v>
      </c>
      <c r="R23" s="185" t="s">
        <v>467</v>
      </c>
      <c r="S23" s="185"/>
      <c r="T23" s="185" t="s">
        <v>473</v>
      </c>
      <c r="U23" s="185"/>
      <c r="V23" s="185" t="s">
        <v>478</v>
      </c>
      <c r="W23" s="185"/>
      <c r="X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c r="BI23" s="185"/>
      <c r="BJ23" s="185"/>
      <c r="BK23" s="185"/>
      <c r="BL23" s="185"/>
      <c r="BM23" s="185"/>
      <c r="BN23" s="185"/>
      <c r="BO23" s="185"/>
      <c r="BP23" s="185"/>
      <c r="BQ23" s="185"/>
      <c r="BR23" s="185"/>
      <c r="BS23" s="185"/>
      <c r="BT23" s="185"/>
      <c r="BU23" s="185"/>
      <c r="BV23" s="185"/>
      <c r="BW23" s="185"/>
      <c r="BX23" s="185"/>
      <c r="BY23" s="185"/>
      <c r="BZ23" s="185"/>
      <c r="CA23" s="185"/>
      <c r="CB23" s="185"/>
      <c r="CC23" s="185"/>
      <c r="CD23" s="185"/>
      <c r="CE23" s="185"/>
      <c r="CF23" s="185"/>
      <c r="CG23" s="185"/>
      <c r="CH23" s="185"/>
      <c r="CI23" s="185"/>
      <c r="CJ23" s="185"/>
      <c r="CK23" s="185"/>
      <c r="CL23" s="185"/>
      <c r="CM23" s="185"/>
      <c r="CN23" s="185"/>
      <c r="CO23" s="185"/>
      <c r="CP23" s="185"/>
      <c r="CQ23" s="185"/>
      <c r="CR23" s="185"/>
      <c r="CS23" s="185"/>
      <c r="CT23" s="185"/>
      <c r="CU23" s="185"/>
      <c r="CV23" s="185"/>
      <c r="CW23" s="185"/>
      <c r="CX23" s="185"/>
      <c r="CY23" s="185"/>
      <c r="CZ23" s="185"/>
      <c r="DA23" s="185"/>
      <c r="DB23" s="185"/>
      <c r="DC23" s="185"/>
      <c r="DD23" s="185"/>
      <c r="DE23" s="185"/>
      <c r="DF23" s="185"/>
      <c r="DG23" s="185"/>
      <c r="DH23" s="185"/>
      <c r="DI23" s="185"/>
      <c r="DJ23" s="185"/>
      <c r="DK23" s="185"/>
      <c r="DL23" s="185"/>
      <c r="DM23" s="185"/>
      <c r="DN23" s="185"/>
      <c r="DO23" s="185"/>
      <c r="DP23" s="185"/>
      <c r="DQ23" s="185"/>
      <c r="DR23" s="185"/>
      <c r="DS23" s="185"/>
      <c r="DT23" s="185"/>
      <c r="DU23" s="185"/>
      <c r="DV23" s="185"/>
      <c r="DW23" s="185"/>
      <c r="DX23" s="185"/>
      <c r="DY23" s="185"/>
      <c r="DZ23" s="185"/>
      <c r="EA23" s="185"/>
      <c r="EB23" s="185"/>
      <c r="EC23" s="185"/>
      <c r="ED23" s="185"/>
      <c r="EE23" s="185"/>
      <c r="EF23" s="185"/>
      <c r="EG23" s="185"/>
      <c r="EH23" s="185"/>
      <c r="EI23" s="185"/>
      <c r="EJ23" s="185"/>
      <c r="EK23" s="185"/>
      <c r="EL23" s="185"/>
      <c r="EM23" s="185"/>
      <c r="EN23" s="185"/>
      <c r="EO23" s="185"/>
      <c r="EP23" s="185"/>
      <c r="EQ23" s="185"/>
      <c r="ER23" s="185"/>
      <c r="ES23" s="185"/>
      <c r="ET23" s="185"/>
      <c r="EU23" s="185"/>
      <c r="EV23" s="185"/>
      <c r="EW23" s="185"/>
      <c r="EX23" s="185"/>
      <c r="EY23" s="185"/>
      <c r="EZ23" s="185"/>
      <c r="FA23" s="185"/>
      <c r="FB23" s="185"/>
      <c r="FC23" s="185"/>
      <c r="FD23" s="185"/>
      <c r="FE23" s="185"/>
      <c r="FF23" s="185"/>
      <c r="FG23" s="185"/>
      <c r="FH23" s="185"/>
      <c r="FI23" s="185"/>
      <c r="FJ23" s="185"/>
      <c r="FK23" s="185"/>
      <c r="FL23" s="185"/>
      <c r="FM23" s="185"/>
      <c r="FN23" s="185"/>
      <c r="FO23" s="185"/>
      <c r="FP23" s="185"/>
      <c r="FQ23" s="185"/>
      <c r="FR23" s="185"/>
      <c r="FS23" s="185"/>
      <c r="FT23" s="185"/>
      <c r="FU23" s="185"/>
      <c r="FV23" s="185"/>
      <c r="FW23" s="185"/>
      <c r="FX23" s="185"/>
      <c r="FY23" s="185"/>
      <c r="FZ23" s="185"/>
      <c r="GA23" s="185"/>
      <c r="GB23" s="185"/>
      <c r="GC23" s="185"/>
      <c r="GD23" s="185"/>
      <c r="GE23" s="185"/>
      <c r="GF23" s="185"/>
      <c r="GG23" s="185"/>
      <c r="GH23" s="185"/>
      <c r="GI23" s="185"/>
      <c r="GJ23" s="185"/>
      <c r="GK23" s="185"/>
      <c r="GL23" s="185"/>
      <c r="GM23" s="185"/>
      <c r="GN23" s="185"/>
      <c r="GO23" s="185"/>
      <c r="GP23" s="185"/>
      <c r="GQ23" s="185"/>
      <c r="GR23" s="185"/>
      <c r="GS23" s="185"/>
      <c r="GT23" s="185"/>
      <c r="GU23" s="185"/>
      <c r="GV23" s="185"/>
      <c r="GW23" s="185"/>
      <c r="GX23" s="185"/>
      <c r="GY23" s="185"/>
      <c r="GZ23" s="185"/>
      <c r="HA23" s="185"/>
      <c r="HB23" s="185"/>
      <c r="HC23" s="185"/>
      <c r="HD23" s="185"/>
      <c r="HE23" s="185"/>
      <c r="HF23" s="185"/>
      <c r="HG23" s="185"/>
      <c r="HH23" s="185"/>
      <c r="HI23" s="185"/>
      <c r="HJ23" s="185"/>
      <c r="HK23" s="185"/>
      <c r="HL23" s="185"/>
      <c r="HM23" s="185"/>
      <c r="HN23" s="185"/>
      <c r="HO23" s="185"/>
      <c r="HP23" s="185"/>
      <c r="HQ23" s="185"/>
      <c r="HR23" s="185"/>
      <c r="HS23" s="185"/>
      <c r="HT23" s="185"/>
      <c r="HU23" s="185"/>
      <c r="HV23" s="185"/>
      <c r="HW23" s="185"/>
      <c r="HX23" s="185"/>
      <c r="HY23" s="185"/>
      <c r="HZ23" s="185"/>
      <c r="IA23" s="185"/>
      <c r="IB23" s="185"/>
      <c r="IC23" s="185"/>
      <c r="ID23" s="185"/>
      <c r="IE23" s="185"/>
      <c r="IF23" s="185"/>
      <c r="IG23" s="185"/>
      <c r="IH23" s="185"/>
      <c r="II23" s="185"/>
      <c r="IJ23" s="185"/>
      <c r="IK23" s="185"/>
      <c r="IL23" s="185"/>
      <c r="IM23" s="185"/>
      <c r="IN23" s="185"/>
      <c r="IO23" s="185"/>
      <c r="IP23" s="185"/>
      <c r="IQ23" s="185"/>
      <c r="IR23" s="185"/>
      <c r="IS23" s="185"/>
      <c r="IT23" s="185"/>
      <c r="IU23" s="185"/>
      <c r="IV23" s="185"/>
      <c r="IW23" s="185"/>
      <c r="IX23" s="185"/>
      <c r="IY23" s="185"/>
      <c r="IZ23" s="185"/>
      <c r="JA23" s="185"/>
      <c r="JB23" s="185"/>
      <c r="JC23" s="185"/>
      <c r="JD23" s="185"/>
      <c r="JE23" s="185"/>
      <c r="JF23" s="185"/>
      <c r="JG23" s="185"/>
      <c r="JH23" s="185"/>
      <c r="JI23" s="185"/>
      <c r="JJ23" s="185"/>
      <c r="JK23" s="185"/>
      <c r="JL23" s="185"/>
      <c r="JM23" s="185"/>
      <c r="JN23" s="185"/>
      <c r="JO23" s="185"/>
      <c r="JP23" s="185"/>
      <c r="JQ23" s="185"/>
      <c r="JR23" s="185"/>
      <c r="JS23" s="185"/>
      <c r="JT23" s="185"/>
      <c r="JU23" s="185"/>
      <c r="JV23" s="185"/>
      <c r="JW23" s="185"/>
      <c r="JX23" s="185"/>
      <c r="JY23" s="185"/>
      <c r="JZ23" s="185"/>
      <c r="KA23" s="185"/>
      <c r="KB23" s="185"/>
      <c r="KC23" s="185"/>
      <c r="KD23" s="185"/>
      <c r="KE23" s="185"/>
      <c r="KF23" s="185"/>
      <c r="KG23" s="185"/>
      <c r="KH23" s="185"/>
      <c r="KI23" s="185"/>
      <c r="KJ23" s="185"/>
      <c r="KK23" s="185"/>
      <c r="KL23" s="185"/>
      <c r="KM23" s="185"/>
      <c r="KN23" s="185"/>
      <c r="KO23" s="185"/>
      <c r="KP23" s="185"/>
      <c r="KQ23" s="185"/>
      <c r="KR23" s="185"/>
      <c r="KS23" s="185"/>
      <c r="KT23" s="185"/>
      <c r="KU23" s="185"/>
      <c r="KV23" s="185"/>
      <c r="KW23" s="185"/>
      <c r="KX23" s="185"/>
      <c r="KY23" s="185"/>
      <c r="KZ23" s="185"/>
      <c r="LA23" s="185"/>
      <c r="LB23" s="185"/>
      <c r="LC23" s="185"/>
      <c r="LD23" s="185"/>
      <c r="LE23" s="185"/>
      <c r="LF23" s="185"/>
      <c r="LG23" s="185"/>
      <c r="LH23" s="185"/>
      <c r="LI23" s="185"/>
      <c r="LJ23" s="185"/>
      <c r="LK23" s="185"/>
      <c r="LL23" s="185"/>
      <c r="LM23" s="185"/>
      <c r="LN23" s="185"/>
      <c r="LO23" s="185"/>
      <c r="LP23" s="185"/>
      <c r="LQ23" s="185"/>
      <c r="LR23" s="185"/>
      <c r="LS23" s="185"/>
      <c r="LT23" s="185"/>
      <c r="LU23" s="185"/>
      <c r="LV23" s="185"/>
      <c r="LW23" s="185"/>
      <c r="LX23" s="185"/>
      <c r="LY23" s="185"/>
      <c r="LZ23" s="185"/>
      <c r="MA23" s="185"/>
      <c r="MB23" s="185"/>
      <c r="MC23" s="185"/>
      <c r="MD23" s="185"/>
      <c r="ME23" s="185"/>
      <c r="MF23" s="185"/>
      <c r="MG23" s="185"/>
      <c r="MH23" s="185"/>
      <c r="MI23" s="185"/>
      <c r="MJ23" s="185"/>
      <c r="MK23" s="185"/>
      <c r="ML23" s="185"/>
      <c r="MM23" s="185"/>
      <c r="MN23" s="185"/>
      <c r="MO23" s="185"/>
      <c r="MP23" s="185"/>
      <c r="MQ23" s="185"/>
      <c r="MR23" s="185"/>
      <c r="MS23" s="185"/>
      <c r="MT23" s="185"/>
      <c r="MU23" s="185"/>
      <c r="MV23" s="185"/>
      <c r="MW23" s="185"/>
      <c r="MX23" s="185"/>
      <c r="MY23" s="185"/>
      <c r="MZ23" s="185"/>
      <c r="NA23" s="185"/>
      <c r="NB23" s="185"/>
      <c r="NC23" s="185"/>
      <c r="ND23" s="185"/>
      <c r="NE23" s="185"/>
      <c r="NF23" s="185"/>
      <c r="NG23" s="185"/>
      <c r="NH23" s="185"/>
      <c r="NI23" s="185"/>
      <c r="NJ23" s="185"/>
      <c r="NK23" s="185"/>
      <c r="NL23" s="185"/>
      <c r="NM23" s="185"/>
      <c r="NN23" s="185"/>
      <c r="NO23" s="185"/>
      <c r="NP23" s="185"/>
      <c r="NQ23" s="185"/>
      <c r="NR23" s="185"/>
      <c r="NS23" s="185"/>
      <c r="NT23" s="185"/>
      <c r="NU23" s="185"/>
      <c r="NV23" s="185"/>
      <c r="NW23" s="185"/>
      <c r="NX23" s="185"/>
      <c r="NY23" s="185"/>
      <c r="NZ23" s="185"/>
      <c r="OA23" s="185"/>
      <c r="OB23" s="185"/>
      <c r="OC23" s="185"/>
      <c r="OD23" s="185"/>
      <c r="OE23" s="185"/>
      <c r="OF23" s="185"/>
      <c r="OG23" s="185"/>
      <c r="OH23" s="185"/>
      <c r="OI23" s="185"/>
      <c r="OJ23" s="185"/>
      <c r="OK23" s="185"/>
      <c r="OL23" s="185"/>
      <c r="OM23" s="185"/>
      <c r="ON23" s="185"/>
      <c r="OO23" s="185"/>
      <c r="OP23" s="185"/>
      <c r="OQ23" s="185"/>
      <c r="OR23" s="185"/>
      <c r="OS23" s="185"/>
      <c r="OT23" s="185"/>
      <c r="OU23" s="185"/>
      <c r="OV23" s="185"/>
      <c r="OW23" s="185"/>
      <c r="OX23" s="185"/>
      <c r="OY23" s="185"/>
      <c r="OZ23" s="185"/>
      <c r="PA23" s="185"/>
      <c r="PB23" s="185"/>
      <c r="PC23" s="185"/>
      <c r="PD23" s="185"/>
      <c r="PE23" s="185"/>
      <c r="PF23" s="185"/>
      <c r="PG23" s="185"/>
      <c r="PH23" s="185"/>
      <c r="PI23" s="185"/>
      <c r="PJ23" s="185"/>
      <c r="PK23" s="185"/>
      <c r="PL23" s="185"/>
      <c r="PM23" s="185"/>
      <c r="PN23" s="185"/>
      <c r="PO23" s="185"/>
      <c r="PP23" s="185"/>
      <c r="PQ23" s="185"/>
      <c r="PR23" s="185"/>
      <c r="PS23" s="185"/>
      <c r="PT23" s="185"/>
      <c r="PU23" s="185"/>
      <c r="PV23" s="185"/>
      <c r="PW23" s="185"/>
      <c r="PX23" s="185"/>
      <c r="PY23" s="185"/>
      <c r="PZ23" s="185"/>
      <c r="QA23" s="185"/>
      <c r="QB23" s="185"/>
      <c r="QC23" s="185"/>
      <c r="QD23" s="185"/>
      <c r="QE23" s="185"/>
      <c r="QF23" s="185"/>
      <c r="QG23" s="185"/>
      <c r="QH23" s="185"/>
      <c r="QI23" s="185"/>
      <c r="QJ23" s="185"/>
      <c r="QK23" s="185"/>
      <c r="QL23" s="185"/>
      <c r="QM23" s="185"/>
      <c r="QN23" s="185"/>
      <c r="QO23" s="185"/>
      <c r="QP23" s="185"/>
      <c r="QQ23" s="185"/>
      <c r="QR23" s="185"/>
      <c r="QS23" s="185"/>
      <c r="QT23" s="185"/>
      <c r="QU23" s="185"/>
      <c r="QV23" s="185"/>
      <c r="QW23" s="185"/>
      <c r="QX23" s="185"/>
      <c r="QY23" s="185"/>
      <c r="QZ23" s="185"/>
      <c r="RA23" s="185"/>
      <c r="RB23" s="185"/>
      <c r="RC23" s="185"/>
      <c r="RD23" s="185"/>
      <c r="RE23" s="185"/>
      <c r="RF23" s="185"/>
      <c r="RG23" s="185"/>
      <c r="RH23" s="185"/>
      <c r="RI23" s="185"/>
      <c r="RJ23" s="185"/>
      <c r="RK23" s="185"/>
      <c r="RL23" s="185"/>
      <c r="RM23" s="185"/>
      <c r="RN23" s="185"/>
      <c r="RO23" s="185"/>
      <c r="RP23" s="185"/>
      <c r="RQ23" s="185"/>
      <c r="RR23" s="185"/>
      <c r="RS23" s="185"/>
      <c r="RT23" s="185"/>
      <c r="RU23" s="185"/>
      <c r="RV23" s="185"/>
      <c r="RW23" s="185"/>
      <c r="RX23" s="185"/>
      <c r="RY23" s="185"/>
      <c r="RZ23" s="185"/>
      <c r="SA23" s="185"/>
      <c r="SB23" s="185"/>
      <c r="SC23" s="185"/>
      <c r="SD23" s="185"/>
      <c r="SE23" s="185"/>
      <c r="SF23" s="185"/>
      <c r="SG23" s="185"/>
      <c r="SH23" s="185"/>
      <c r="SI23" s="185"/>
      <c r="SJ23" s="185"/>
      <c r="SK23" s="185"/>
      <c r="SL23" s="185"/>
      <c r="SM23" s="185"/>
      <c r="SN23" s="185"/>
      <c r="SO23" s="185"/>
      <c r="SP23" s="185"/>
      <c r="SQ23" s="185"/>
      <c r="SR23" s="185"/>
      <c r="SS23" s="185"/>
      <c r="ST23" s="185"/>
      <c r="SU23" s="185"/>
      <c r="SV23" s="185"/>
      <c r="SW23" s="185"/>
      <c r="SX23" s="185"/>
      <c r="SY23" s="185"/>
      <c r="SZ23" s="185"/>
      <c r="TA23" s="185"/>
      <c r="TB23" s="185"/>
      <c r="TC23" s="185"/>
      <c r="TD23" s="185"/>
      <c r="TE23" s="185"/>
      <c r="TF23" s="185"/>
      <c r="TG23" s="185"/>
      <c r="TH23" s="185"/>
      <c r="TI23" s="185"/>
      <c r="TJ23" s="185"/>
      <c r="TK23" s="185"/>
      <c r="TL23" s="185"/>
      <c r="TM23" s="185"/>
      <c r="TN23" s="185"/>
      <c r="TO23" s="185"/>
      <c r="TP23" s="185"/>
      <c r="TQ23" s="185"/>
      <c r="TR23" s="185"/>
      <c r="TS23" s="185"/>
      <c r="TT23" s="185"/>
      <c r="TU23" s="185"/>
      <c r="TV23" s="185"/>
      <c r="TW23" s="185"/>
      <c r="TX23" s="185"/>
      <c r="TY23" s="185"/>
      <c r="TZ23" s="185"/>
      <c r="UA23" s="185"/>
      <c r="UB23" s="185"/>
      <c r="UC23" s="185"/>
      <c r="UD23" s="185"/>
      <c r="UE23" s="185"/>
      <c r="UF23" s="185"/>
      <c r="UG23" s="185"/>
      <c r="UH23" s="185"/>
      <c r="UI23" s="185"/>
      <c r="UJ23" s="185"/>
      <c r="UK23" s="185"/>
      <c r="UL23" s="185"/>
      <c r="UM23" s="185"/>
      <c r="UN23" s="185"/>
      <c r="UO23" s="185"/>
      <c r="UP23" s="185"/>
      <c r="UQ23" s="185"/>
      <c r="UR23" s="185"/>
      <c r="US23" s="185"/>
      <c r="UT23" s="185"/>
      <c r="UU23" s="185"/>
      <c r="UV23" s="185"/>
      <c r="UW23" s="185"/>
      <c r="UX23" s="185"/>
      <c r="UY23" s="185"/>
      <c r="UZ23" s="185"/>
      <c r="VA23" s="185"/>
      <c r="VB23" s="185"/>
      <c r="VC23" s="185"/>
      <c r="VD23" s="185"/>
      <c r="VE23" s="185"/>
      <c r="VF23" s="185"/>
      <c r="VG23" s="185"/>
      <c r="VH23" s="185"/>
      <c r="VI23" s="185"/>
      <c r="VJ23" s="185"/>
      <c r="VK23" s="185"/>
      <c r="VL23" s="185"/>
      <c r="VM23" s="185"/>
      <c r="VN23" s="185"/>
      <c r="VO23" s="185"/>
      <c r="VP23" s="185"/>
      <c r="VQ23" s="185"/>
      <c r="VR23" s="185"/>
      <c r="VS23" s="185"/>
      <c r="VT23" s="185"/>
      <c r="VU23" s="185"/>
      <c r="VV23" s="185"/>
      <c r="VW23" s="185"/>
      <c r="VX23" s="185"/>
      <c r="VY23" s="185"/>
      <c r="VZ23" s="185"/>
      <c r="WA23" s="185"/>
      <c r="WB23" s="185"/>
      <c r="WC23" s="185"/>
      <c r="WD23" s="185"/>
      <c r="WE23" s="185"/>
      <c r="WF23" s="185"/>
      <c r="WG23" s="185"/>
    </row>
  </sheetData>
  <mergeCells count="6">
    <mergeCell ref="A1:A4"/>
    <mergeCell ref="A11:A14"/>
    <mergeCell ref="A15:A17"/>
    <mergeCell ref="A18:A23"/>
    <mergeCell ref="A8:A10"/>
    <mergeCell ref="A5:A7"/>
  </mergeCells>
  <conditionalFormatting sqref="A18">
    <cfRule type="colorScale" priority="4">
      <colorScale>
        <cfvo type="min"/>
        <cfvo type="percentile" val="50"/>
        <cfvo type="max"/>
        <color rgb="FFF8696B"/>
        <color rgb="FFFFEB84"/>
        <color rgb="FF63BE7B"/>
      </colorScale>
    </cfRule>
  </conditionalFormatting>
  <conditionalFormatting sqref="A5:XFD5">
    <cfRule type="colorScale" priority="15">
      <colorScale>
        <cfvo type="min"/>
        <cfvo type="percentile" val="50"/>
        <cfvo type="max"/>
        <color rgb="FFF8696B"/>
        <color rgb="FFFFEB84"/>
        <color rgb="FF63BE7B"/>
      </colorScale>
    </cfRule>
  </conditionalFormatting>
  <conditionalFormatting sqref="B20:WG21">
    <cfRule type="colorScale" priority="40">
      <colorScale>
        <cfvo type="min"/>
        <cfvo type="percentile" val="50"/>
        <cfvo type="max"/>
        <color rgb="FFF8696B"/>
        <color rgb="FFFFEB84"/>
        <color rgb="FF63BE7B"/>
      </colorScale>
    </cfRule>
  </conditionalFormatting>
  <conditionalFormatting sqref="B6:XFD6">
    <cfRule type="colorScale" priority="12">
      <colorScale>
        <cfvo type="min"/>
        <cfvo type="percentile" val="50"/>
        <cfvo type="max"/>
        <color rgb="FF63BE7B"/>
        <color rgb="FFFFEB84"/>
        <color rgb="FFF8696B"/>
      </colorScale>
    </cfRule>
  </conditionalFormatting>
  <conditionalFormatting sqref="WH8:XFD8 B9:WG9">
    <cfRule type="colorScale" priority="13">
      <colorScale>
        <cfvo type="min"/>
        <cfvo type="percentile" val="50"/>
        <cfvo type="max"/>
        <color rgb="FF63BE7B"/>
        <color rgb="FFFFEB84"/>
        <color rgb="FFF8696B"/>
      </colorScale>
    </cfRule>
  </conditionalFormatting>
  <conditionalFormatting sqref="WH9:XFD9 B10:WG10">
    <cfRule type="colorScale" priority="20">
      <colorScale>
        <cfvo type="min"/>
        <cfvo type="percentile" val="50"/>
        <cfvo type="max"/>
        <color rgb="FF63BE7B"/>
        <color rgb="FFFFEB84"/>
        <color rgb="FFF8696B"/>
      </colorScale>
    </cfRule>
  </conditionalFormatting>
  <conditionalFormatting sqref="WH10:XFD10 B11:WG11">
    <cfRule type="colorScale" priority="10">
      <colorScale>
        <cfvo type="min"/>
        <cfvo type="percentile" val="50"/>
        <cfvo type="max"/>
        <color rgb="FFF8696B"/>
        <color rgb="FFFFEB84"/>
        <color rgb="FF63BE7B"/>
      </colorScale>
    </cfRule>
  </conditionalFormatting>
  <conditionalFormatting sqref="WH11:XFD12 B13:WG13">
    <cfRule type="colorScale" priority="29">
      <colorScale>
        <cfvo type="min"/>
        <cfvo type="percentile" val="50"/>
        <cfvo type="max"/>
        <color rgb="FFF8696B"/>
        <color rgb="FFFFEB84"/>
        <color rgb="FF63BE7B"/>
      </colorScale>
    </cfRule>
  </conditionalFormatting>
  <conditionalFormatting sqref="WH14:XFD14 B19:WG19 B15:WG16 WH16:XFD16">
    <cfRule type="colorScale" priority="19">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promptTitle="Clic " prompt="to see scale" xr:uid="{3257EBEB-E1F8-4DB5-A49E-834FE8850552}">
          <x14:formula1>
            <xm:f>Scales!$C$2:$C$8</xm:f>
          </x14:formula1>
          <xm:sqref>C5:C6 C13 C11 C16 C18 C20:C21</xm:sqref>
        </x14:dataValidation>
        <x14:dataValidation type="list" allowBlank="1" showInputMessage="1" showErrorMessage="1" promptTitle="Click" prompt="to see scale" xr:uid="{4C161948-08DB-4D41-B097-64429DF453C4}">
          <x14:formula1>
            <xm:f>Scales!$F$2:$F$8</xm:f>
          </x14:formula1>
          <xm:sqref>C9</xm:sqref>
        </x14:dataValidation>
        <x14:dataValidation type="list" allowBlank="1" showInputMessage="1" showErrorMessage="1" promptTitle="Clic " prompt="to see scale" xr:uid="{404A0B96-FD86-45AD-BAD1-2652ED7CAB64}">
          <x14:formula1>
            <xm:f>Scales!$E$2:$E$8</xm:f>
          </x14:formula1>
          <xm:sqref>C10</xm:sqref>
        </x14:dataValidation>
        <x14:dataValidation type="list" allowBlank="1" showInputMessage="1" showErrorMessage="1" promptTitle="Options" prompt="click for options" xr:uid="{A28EF0CA-E6A9-4074-8D8D-07CEE0077F63}">
          <x14:formula1>
            <xm:f>Scales!$M$3:$M$18</xm:f>
          </x14:formula1>
          <xm:sqref>C14</xm:sqref>
        </x14:dataValidation>
        <x14:dataValidation type="list" allowBlank="1" showInputMessage="1" showErrorMessage="1" promptTitle="Options" xr:uid="{59FB4FC0-BA1D-4754-A0F7-0CCFD31EC70D}">
          <x14:formula1>
            <xm:f>Scales!$J$2:$J$8</xm:f>
          </x14:formula1>
          <xm:sqref>C15 C19</xm:sqref>
        </x14:dataValidation>
        <x14:dataValidation type="list" allowBlank="1" showInputMessage="1" showErrorMessage="1" xr:uid="{22B4F925-5D28-4B75-9CA7-46708E8A30FF}">
          <x14:formula1>
            <xm:f>Scales!$L$3:$L$8</xm:f>
          </x14:formula1>
          <xm:sqref>C8</xm:sqref>
        </x14:dataValidation>
        <x14:dataValidation type="list" allowBlank="1" showInputMessage="1" showErrorMessage="1" xr:uid="{9D375A19-6191-428E-B472-6490A456805A}">
          <x14:formula1>
            <xm:f>Scales!$S$3:$S$8</xm:f>
          </x14:formula1>
          <xm:sqref>C4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8492-45F6-49A1-A5DC-3B5F5E29C582}">
  <dimension ref="A1:S19"/>
  <sheetViews>
    <sheetView zoomScaleNormal="80" zoomScaleSheetLayoutView="100" workbookViewId="0">
      <selection activeCell="F15" sqref="F15"/>
    </sheetView>
  </sheetViews>
  <sheetFormatPr defaultColWidth="9.16796875" defaultRowHeight="13.5" x14ac:dyDescent="0.15"/>
  <cols>
    <col min="1" max="1" width="9.3046875" style="84" bestFit="1" customWidth="1"/>
    <col min="2" max="2" width="11.19140625" style="84" bestFit="1" customWidth="1"/>
    <col min="3" max="4" width="12.80859375" style="84" bestFit="1" customWidth="1"/>
    <col min="5" max="5" width="13.75390625" style="84" bestFit="1" customWidth="1"/>
    <col min="6" max="6" width="12.67578125" style="84" bestFit="1" customWidth="1"/>
    <col min="7" max="7" width="11.4609375" style="84" bestFit="1" customWidth="1"/>
    <col min="8" max="8" width="12.40625" style="84" customWidth="1"/>
    <col min="9" max="9" width="13.6171875" style="84" bestFit="1" customWidth="1"/>
    <col min="10" max="10" width="15.37109375" style="84" bestFit="1" customWidth="1"/>
    <col min="11" max="11" width="26.0234375" style="84" bestFit="1" customWidth="1"/>
    <col min="12" max="13" width="18.203125" style="84" bestFit="1" customWidth="1"/>
    <col min="14" max="14" width="18.33984375" style="84" bestFit="1" customWidth="1"/>
    <col min="15" max="16384" width="9.16796875" style="84"/>
  </cols>
  <sheetData>
    <row r="1" spans="1:19" x14ac:dyDescent="0.15">
      <c r="E1" s="84" t="s">
        <v>319</v>
      </c>
    </row>
    <row r="2" spans="1:19" s="86" customFormat="1" ht="18" x14ac:dyDescent="0.2">
      <c r="A2" s="85" t="s">
        <v>320</v>
      </c>
      <c r="B2" s="85" t="s">
        <v>321</v>
      </c>
      <c r="C2" s="85" t="s">
        <v>410</v>
      </c>
      <c r="D2" s="85" t="s">
        <v>365</v>
      </c>
      <c r="E2" s="85" t="s">
        <v>414</v>
      </c>
      <c r="F2" s="85" t="s">
        <v>411</v>
      </c>
      <c r="H2" s="85" t="s">
        <v>323</v>
      </c>
      <c r="I2" s="85" t="s">
        <v>324</v>
      </c>
      <c r="J2" s="85" t="s">
        <v>385</v>
      </c>
      <c r="K2" s="85" t="s">
        <v>322</v>
      </c>
    </row>
    <row r="3" spans="1:19" ht="14.25" thickBot="1" x14ac:dyDescent="0.2">
      <c r="A3" s="84">
        <v>0</v>
      </c>
      <c r="B3" s="87">
        <v>0</v>
      </c>
      <c r="C3" s="87" t="s">
        <v>293</v>
      </c>
      <c r="D3" s="87" t="s">
        <v>293</v>
      </c>
      <c r="E3" s="112" t="s">
        <v>415</v>
      </c>
      <c r="F3" s="87" t="s">
        <v>327</v>
      </c>
      <c r="G3" s="84" t="s">
        <v>326</v>
      </c>
      <c r="H3" s="84" t="s">
        <v>325</v>
      </c>
      <c r="I3" s="84" t="s">
        <v>363</v>
      </c>
      <c r="J3" s="103" t="s">
        <v>386</v>
      </c>
      <c r="K3" s="99" t="s">
        <v>327</v>
      </c>
      <c r="L3" s="102" t="s">
        <v>435</v>
      </c>
      <c r="M3" s="104" t="s">
        <v>436</v>
      </c>
      <c r="O3" s="84" t="s">
        <v>285</v>
      </c>
      <c r="Q3" s="103" t="s">
        <v>391</v>
      </c>
      <c r="S3" s="110" t="s">
        <v>283</v>
      </c>
    </row>
    <row r="4" spans="1:19" ht="14.25" thickTop="1" x14ac:dyDescent="0.15">
      <c r="A4" s="88">
        <v>1</v>
      </c>
      <c r="B4" s="89" t="s">
        <v>328</v>
      </c>
      <c r="C4" s="89" t="s">
        <v>295</v>
      </c>
      <c r="D4" s="100" t="s">
        <v>295</v>
      </c>
      <c r="E4" s="88" t="s">
        <v>416</v>
      </c>
      <c r="F4" s="101" t="s">
        <v>382</v>
      </c>
      <c r="G4" s="88" t="s">
        <v>329</v>
      </c>
      <c r="H4" s="88" t="s">
        <v>330</v>
      </c>
      <c r="I4" s="94" t="s">
        <v>364</v>
      </c>
      <c r="J4" s="88" t="s">
        <v>387</v>
      </c>
      <c r="K4" s="100" t="s">
        <v>331</v>
      </c>
      <c r="L4" s="102" t="s">
        <v>348</v>
      </c>
      <c r="M4" s="104" t="s">
        <v>377</v>
      </c>
      <c r="O4" s="84" t="s">
        <v>294</v>
      </c>
      <c r="Q4" s="103" t="s">
        <v>393</v>
      </c>
      <c r="S4" s="109" t="s">
        <v>291</v>
      </c>
    </row>
    <row r="5" spans="1:19" x14ac:dyDescent="0.15">
      <c r="A5" s="91">
        <v>2</v>
      </c>
      <c r="B5" s="92" t="s">
        <v>332</v>
      </c>
      <c r="C5" s="92" t="s">
        <v>299</v>
      </c>
      <c r="D5" s="93" t="s">
        <v>299</v>
      </c>
      <c r="E5" s="91" t="s">
        <v>417</v>
      </c>
      <c r="F5" s="93" t="s">
        <v>383</v>
      </c>
      <c r="G5" s="91" t="s">
        <v>334</v>
      </c>
      <c r="H5" s="91" t="s">
        <v>335</v>
      </c>
      <c r="I5" s="96" t="s">
        <v>399</v>
      </c>
      <c r="J5" s="91" t="s">
        <v>388</v>
      </c>
      <c r="K5" s="93" t="s">
        <v>336</v>
      </c>
      <c r="L5" s="102" t="s">
        <v>349</v>
      </c>
      <c r="M5" s="104" t="s">
        <v>367</v>
      </c>
      <c r="O5" s="84" t="s">
        <v>296</v>
      </c>
      <c r="Q5" s="103" t="s">
        <v>392</v>
      </c>
      <c r="S5" s="106" t="s">
        <v>288</v>
      </c>
    </row>
    <row r="6" spans="1:19" x14ac:dyDescent="0.15">
      <c r="A6" s="94">
        <v>3</v>
      </c>
      <c r="B6" s="95" t="s">
        <v>337</v>
      </c>
      <c r="C6" s="95" t="s">
        <v>302</v>
      </c>
      <c r="D6" s="94" t="s">
        <v>302</v>
      </c>
      <c r="E6" s="94" t="s">
        <v>418</v>
      </c>
      <c r="F6" s="94" t="s">
        <v>339</v>
      </c>
      <c r="G6" s="94" t="s">
        <v>338</v>
      </c>
      <c r="H6" s="94" t="s">
        <v>333</v>
      </c>
      <c r="I6" s="88" t="s">
        <v>400</v>
      </c>
      <c r="J6" s="94" t="s">
        <v>298</v>
      </c>
      <c r="K6" s="94" t="s">
        <v>339</v>
      </c>
      <c r="L6" s="102" t="s">
        <v>350</v>
      </c>
      <c r="M6" s="104" t="s">
        <v>368</v>
      </c>
      <c r="O6" s="84" t="s">
        <v>300</v>
      </c>
      <c r="Q6" s="103" t="s">
        <v>396</v>
      </c>
      <c r="S6" s="107" t="s">
        <v>297</v>
      </c>
    </row>
    <row r="7" spans="1:19" x14ac:dyDescent="0.15">
      <c r="A7" s="96">
        <v>4</v>
      </c>
      <c r="B7" s="97" t="s">
        <v>340</v>
      </c>
      <c r="C7" s="97" t="s">
        <v>304</v>
      </c>
      <c r="D7" s="91" t="s">
        <v>304</v>
      </c>
      <c r="E7" s="96" t="s">
        <v>419</v>
      </c>
      <c r="F7" s="91" t="s">
        <v>384</v>
      </c>
      <c r="G7" s="96" t="s">
        <v>341</v>
      </c>
      <c r="H7" s="96" t="s">
        <v>342</v>
      </c>
      <c r="J7" s="96" t="s">
        <v>389</v>
      </c>
      <c r="K7" s="91" t="s">
        <v>343</v>
      </c>
      <c r="L7" s="102" t="s">
        <v>351</v>
      </c>
      <c r="M7" s="104" t="s">
        <v>369</v>
      </c>
      <c r="O7" s="84" t="s">
        <v>303</v>
      </c>
      <c r="Q7" s="103" t="s">
        <v>397</v>
      </c>
      <c r="S7" s="107" t="s">
        <v>287</v>
      </c>
    </row>
    <row r="8" spans="1:19" x14ac:dyDescent="0.15">
      <c r="A8" s="90">
        <v>5</v>
      </c>
      <c r="B8" s="98" t="s">
        <v>344</v>
      </c>
      <c r="C8" s="101" t="s">
        <v>306</v>
      </c>
      <c r="D8" s="88" t="s">
        <v>306</v>
      </c>
      <c r="E8" s="113" t="s">
        <v>420</v>
      </c>
      <c r="F8" s="88" t="s">
        <v>406</v>
      </c>
      <c r="G8" s="90" t="s">
        <v>345</v>
      </c>
      <c r="H8" s="90" t="s">
        <v>346</v>
      </c>
      <c r="J8" s="105" t="s">
        <v>390</v>
      </c>
      <c r="K8" s="88" t="s">
        <v>347</v>
      </c>
      <c r="L8" s="102" t="s">
        <v>352</v>
      </c>
      <c r="M8" s="104" t="s">
        <v>370</v>
      </c>
      <c r="O8" s="84" t="s">
        <v>305</v>
      </c>
      <c r="Q8" s="103" t="s">
        <v>394</v>
      </c>
      <c r="S8" s="106" t="s">
        <v>301</v>
      </c>
    </row>
    <row r="9" spans="1:19" x14ac:dyDescent="0.15">
      <c r="L9" s="102" t="s">
        <v>353</v>
      </c>
      <c r="M9" s="104" t="s">
        <v>371</v>
      </c>
      <c r="O9" s="84" t="s">
        <v>307</v>
      </c>
      <c r="Q9" s="103" t="s">
        <v>395</v>
      </c>
      <c r="S9" s="110"/>
    </row>
    <row r="10" spans="1:19" x14ac:dyDescent="0.15">
      <c r="L10" s="102" t="s">
        <v>354</v>
      </c>
      <c r="M10" s="104" t="s">
        <v>372</v>
      </c>
      <c r="S10" s="110"/>
    </row>
    <row r="11" spans="1:19" x14ac:dyDescent="0.15">
      <c r="L11" s="102" t="s">
        <v>355</v>
      </c>
      <c r="M11" s="104" t="s">
        <v>373</v>
      </c>
      <c r="N11" s="103"/>
    </row>
    <row r="12" spans="1:19" x14ac:dyDescent="0.15">
      <c r="L12" s="102" t="s">
        <v>356</v>
      </c>
      <c r="M12" s="104" t="s">
        <v>374</v>
      </c>
    </row>
    <row r="13" spans="1:19" x14ac:dyDescent="0.15">
      <c r="L13" s="102" t="s">
        <v>357</v>
      </c>
      <c r="M13" s="104" t="s">
        <v>375</v>
      </c>
    </row>
    <row r="14" spans="1:19" x14ac:dyDescent="0.15">
      <c r="L14" s="102" t="s">
        <v>358</v>
      </c>
      <c r="M14" s="104" t="s">
        <v>376</v>
      </c>
    </row>
    <row r="15" spans="1:19" x14ac:dyDescent="0.15">
      <c r="L15" s="102" t="s">
        <v>359</v>
      </c>
      <c r="M15" s="104" t="s">
        <v>378</v>
      </c>
    </row>
    <row r="16" spans="1:19" x14ac:dyDescent="0.15">
      <c r="L16" s="102" t="s">
        <v>360</v>
      </c>
      <c r="M16" s="104" t="s">
        <v>379</v>
      </c>
    </row>
    <row r="17" spans="12:13" x14ac:dyDescent="0.15">
      <c r="L17" s="102" t="s">
        <v>361</v>
      </c>
      <c r="M17" s="104" t="s">
        <v>380</v>
      </c>
    </row>
    <row r="18" spans="12:13" x14ac:dyDescent="0.15">
      <c r="L18" s="102" t="s">
        <v>362</v>
      </c>
      <c r="M18" s="104" t="s">
        <v>381</v>
      </c>
    </row>
    <row r="19" spans="12:13" x14ac:dyDescent="0.15">
      <c r="L19" s="104"/>
    </row>
  </sheetData>
  <conditionalFormatting sqref="I7:I737">
    <cfRule type="expression" dxfId="1" priority="6" stopIfTrue="1">
      <formula>$C9="1 - very low"</formula>
    </cfRule>
  </conditionalFormatting>
  <conditionalFormatting sqref="J5:J8">
    <cfRule type="expression" dxfId="0" priority="5" stopIfTrue="1">
      <formula>$C5="1 - very low"</formula>
    </cfRule>
  </conditionalFormatting>
  <dataValidations count="1">
    <dataValidation type="list" allowBlank="1" showInputMessage="1" showErrorMessage="1" sqref="S4:S8" xr:uid="{86F2F06F-E603-404A-B8DA-8501CBEE1677}">
      <formula1>"sit, stand, walk, lay down, other"</formula1>
    </dataValidation>
  </dataValidations>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8CBA-921C-4928-BC04-B7E5DABC1198}">
  <sheetPr>
    <tabColor theme="9"/>
  </sheetPr>
  <dimension ref="A1:VU16"/>
  <sheetViews>
    <sheetView tabSelected="1" topLeftCell="A7" zoomScale="120" zoomScaleNormal="120" workbookViewId="0">
      <pane xSplit="3" topLeftCell="L7" activePane="topRight" state="frozen"/>
      <selection activeCell="A7" sqref="A7"/>
      <selection pane="topRight" activeCell="M16" sqref="M16"/>
    </sheetView>
  </sheetViews>
  <sheetFormatPr defaultRowHeight="12.75" x14ac:dyDescent="0.15"/>
  <cols>
    <col min="1" max="1" width="11.32421875" style="61" bestFit="1" customWidth="1"/>
    <col min="2" max="3" width="15.1015625" style="116" customWidth="1"/>
    <col min="4" max="4" width="13.88671875" customWidth="1"/>
    <col min="5" max="94" width="11.4609375" customWidth="1"/>
    <col min="95" max="593" width="12.40625" customWidth="1"/>
  </cols>
  <sheetData>
    <row r="1" spans="1:593" s="221" customFormat="1" ht="14.25" customHeight="1" x14ac:dyDescent="0.15">
      <c r="A1" s="232" t="s">
        <v>429</v>
      </c>
      <c r="B1" s="218" t="s">
        <v>282</v>
      </c>
      <c r="C1" s="219" t="s">
        <v>457</v>
      </c>
      <c r="D1" s="220">
        <v>45783</v>
      </c>
      <c r="E1" s="220">
        <v>45784</v>
      </c>
      <c r="F1" s="220">
        <v>45785</v>
      </c>
      <c r="G1" s="220">
        <v>45786</v>
      </c>
      <c r="H1" s="220">
        <v>45787</v>
      </c>
      <c r="I1" s="220">
        <v>45788</v>
      </c>
      <c r="J1" s="220">
        <v>45789</v>
      </c>
      <c r="K1" s="220">
        <v>45790</v>
      </c>
      <c r="L1" s="220">
        <v>45791</v>
      </c>
      <c r="M1" s="220">
        <v>45792</v>
      </c>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c r="AY1" s="220"/>
      <c r="AZ1" s="220"/>
      <c r="BA1" s="220"/>
      <c r="BB1" s="220"/>
      <c r="BC1" s="220"/>
      <c r="BD1" s="220"/>
      <c r="BE1" s="220"/>
      <c r="BF1" s="220"/>
      <c r="BG1" s="220"/>
      <c r="BH1" s="220"/>
      <c r="BI1" s="220"/>
      <c r="BJ1" s="220"/>
      <c r="BK1" s="220"/>
      <c r="BL1" s="220"/>
      <c r="BM1" s="220"/>
      <c r="BN1" s="220"/>
      <c r="BO1" s="220"/>
      <c r="BP1" s="220"/>
      <c r="BQ1" s="220"/>
      <c r="BR1" s="220"/>
      <c r="BS1" s="220"/>
      <c r="BT1" s="220"/>
      <c r="BU1" s="220"/>
      <c r="BV1" s="220"/>
      <c r="BW1" s="220"/>
      <c r="BX1" s="220"/>
      <c r="BY1" s="220"/>
      <c r="BZ1" s="220"/>
      <c r="CA1" s="220"/>
      <c r="CB1" s="220"/>
      <c r="CC1" s="220"/>
      <c r="CD1" s="220"/>
      <c r="CE1" s="220"/>
      <c r="CF1" s="220"/>
      <c r="CG1" s="220"/>
      <c r="CH1" s="220"/>
      <c r="CI1" s="220"/>
      <c r="CJ1" s="220"/>
      <c r="CK1" s="220"/>
      <c r="CL1" s="220"/>
      <c r="CM1" s="220"/>
      <c r="CN1" s="220"/>
      <c r="CO1" s="220"/>
      <c r="CP1" s="220"/>
      <c r="CQ1" s="220"/>
      <c r="CR1" s="220"/>
      <c r="CS1" s="220"/>
      <c r="CT1" s="220"/>
      <c r="CU1" s="220"/>
      <c r="CV1" s="220"/>
      <c r="CW1" s="220"/>
      <c r="CX1" s="220"/>
      <c r="CY1" s="220"/>
      <c r="CZ1" s="220"/>
      <c r="DA1" s="220"/>
      <c r="DB1" s="220"/>
      <c r="DC1" s="220"/>
      <c r="DD1" s="220"/>
      <c r="DE1" s="220"/>
      <c r="DF1" s="220"/>
      <c r="DG1" s="220"/>
      <c r="DH1" s="220"/>
      <c r="DI1" s="220"/>
      <c r="DJ1" s="220"/>
      <c r="DK1" s="220"/>
      <c r="DL1" s="220"/>
      <c r="DM1" s="220"/>
      <c r="DN1" s="220"/>
      <c r="DO1" s="220"/>
      <c r="DP1" s="220"/>
      <c r="DQ1" s="220"/>
      <c r="DR1" s="220"/>
      <c r="DS1" s="220"/>
      <c r="DT1" s="220"/>
      <c r="DU1" s="220"/>
      <c r="DV1" s="220"/>
      <c r="DW1" s="220"/>
      <c r="DX1" s="220"/>
      <c r="DY1" s="220"/>
      <c r="DZ1" s="220"/>
      <c r="EA1" s="220"/>
      <c r="EB1" s="220"/>
      <c r="EC1" s="220"/>
      <c r="ED1" s="220"/>
      <c r="EE1" s="220"/>
      <c r="EF1" s="220"/>
      <c r="EG1" s="220"/>
      <c r="EH1" s="220"/>
      <c r="EI1" s="220"/>
      <c r="EJ1" s="220"/>
      <c r="EK1" s="220"/>
      <c r="EL1" s="220"/>
      <c r="EM1" s="220"/>
      <c r="EN1" s="220"/>
      <c r="EO1" s="220"/>
      <c r="EP1" s="220"/>
      <c r="EQ1" s="220"/>
      <c r="ER1" s="220"/>
      <c r="ES1" s="220"/>
      <c r="ET1" s="220"/>
      <c r="EU1" s="220"/>
      <c r="EV1" s="220"/>
      <c r="EW1" s="220"/>
      <c r="EX1" s="220"/>
      <c r="EY1" s="220"/>
      <c r="EZ1" s="220"/>
      <c r="FA1" s="220"/>
      <c r="FB1" s="220"/>
      <c r="FC1" s="220"/>
      <c r="FD1" s="220"/>
      <c r="FE1" s="220"/>
      <c r="FF1" s="220"/>
      <c r="FG1" s="220"/>
      <c r="FH1" s="220"/>
      <c r="FI1" s="220"/>
      <c r="FJ1" s="220"/>
      <c r="FK1" s="220"/>
      <c r="FL1" s="220"/>
      <c r="FM1" s="220"/>
      <c r="FN1" s="220"/>
      <c r="FO1" s="220"/>
      <c r="FP1" s="220"/>
      <c r="FQ1" s="220"/>
      <c r="FR1" s="220"/>
      <c r="FS1" s="220"/>
      <c r="FT1" s="220"/>
      <c r="FU1" s="220"/>
      <c r="FV1" s="220"/>
      <c r="FW1" s="220"/>
      <c r="FX1" s="220"/>
      <c r="FY1" s="220"/>
      <c r="FZ1" s="220"/>
      <c r="GA1" s="220"/>
      <c r="GB1" s="220"/>
      <c r="GC1" s="220"/>
      <c r="GD1" s="220"/>
      <c r="GE1" s="220"/>
      <c r="GF1" s="220"/>
      <c r="GG1" s="220"/>
      <c r="GH1" s="220"/>
      <c r="GI1" s="220"/>
      <c r="GJ1" s="220"/>
      <c r="GK1" s="220"/>
      <c r="GL1" s="220"/>
      <c r="GM1" s="220"/>
      <c r="GN1" s="220"/>
      <c r="GO1" s="220"/>
      <c r="GP1" s="220"/>
      <c r="GQ1" s="220"/>
      <c r="GR1" s="220"/>
      <c r="GS1" s="220"/>
      <c r="GT1" s="220"/>
      <c r="GU1" s="220"/>
      <c r="GV1" s="220"/>
      <c r="GW1" s="220"/>
      <c r="GX1" s="220"/>
      <c r="GY1" s="220"/>
      <c r="GZ1" s="220"/>
      <c r="HA1" s="220"/>
      <c r="HB1" s="220"/>
      <c r="HC1" s="220"/>
      <c r="HD1" s="220"/>
      <c r="HE1" s="220"/>
      <c r="HF1" s="220"/>
      <c r="HG1" s="220"/>
      <c r="HH1" s="220"/>
      <c r="HI1" s="220"/>
      <c r="HJ1" s="220"/>
      <c r="HK1" s="220"/>
      <c r="HL1" s="220"/>
      <c r="HM1" s="220"/>
      <c r="HN1" s="220"/>
      <c r="HO1" s="220"/>
      <c r="HP1" s="220"/>
      <c r="HQ1" s="220"/>
      <c r="HR1" s="220"/>
      <c r="HS1" s="220"/>
      <c r="HT1" s="220"/>
      <c r="HU1" s="220"/>
      <c r="HV1" s="220"/>
      <c r="HW1" s="220"/>
      <c r="HX1" s="220"/>
      <c r="HY1" s="220"/>
      <c r="HZ1" s="220"/>
      <c r="IA1" s="220"/>
      <c r="IB1" s="220"/>
      <c r="IC1" s="220"/>
      <c r="ID1" s="220"/>
      <c r="IE1" s="220"/>
      <c r="IF1" s="220"/>
      <c r="IG1" s="220"/>
      <c r="IH1" s="220"/>
      <c r="II1" s="220"/>
      <c r="IJ1" s="220"/>
      <c r="IK1" s="220"/>
      <c r="IL1" s="220"/>
      <c r="IM1" s="220"/>
      <c r="IN1" s="220"/>
      <c r="IO1" s="220"/>
      <c r="IP1" s="220"/>
      <c r="IQ1" s="220"/>
      <c r="IR1" s="220"/>
      <c r="IS1" s="220"/>
      <c r="IT1" s="220"/>
      <c r="IU1" s="220"/>
      <c r="IV1" s="220"/>
      <c r="IW1" s="220"/>
      <c r="IX1" s="220"/>
      <c r="IY1" s="220"/>
      <c r="IZ1" s="220"/>
      <c r="JA1" s="220"/>
      <c r="JB1" s="220"/>
      <c r="JC1" s="220"/>
      <c r="JD1" s="220"/>
      <c r="JE1" s="220"/>
      <c r="JF1" s="220"/>
      <c r="JG1" s="220"/>
      <c r="JH1" s="220"/>
      <c r="JI1" s="220"/>
      <c r="JJ1" s="220"/>
      <c r="JK1" s="220"/>
      <c r="JL1" s="220"/>
      <c r="JM1" s="220"/>
      <c r="JN1" s="220"/>
      <c r="JO1" s="220"/>
      <c r="JP1" s="220"/>
      <c r="JQ1" s="220"/>
      <c r="JR1" s="220"/>
      <c r="JS1" s="220"/>
      <c r="JT1" s="220"/>
      <c r="JU1" s="220"/>
      <c r="JV1" s="220"/>
      <c r="JW1" s="220"/>
      <c r="JX1" s="220"/>
      <c r="JY1" s="220"/>
      <c r="JZ1" s="220"/>
      <c r="KA1" s="220"/>
      <c r="KB1" s="220"/>
      <c r="KC1" s="220"/>
      <c r="KD1" s="220"/>
      <c r="KE1" s="220"/>
      <c r="KF1" s="220"/>
      <c r="KG1" s="220"/>
      <c r="KH1" s="220"/>
      <c r="KI1" s="220"/>
      <c r="KJ1" s="220"/>
      <c r="KK1" s="220"/>
      <c r="KL1" s="220"/>
      <c r="KM1" s="220"/>
      <c r="KN1" s="220"/>
      <c r="KO1" s="220"/>
      <c r="KP1" s="220"/>
      <c r="KQ1" s="220"/>
      <c r="KR1" s="220"/>
      <c r="KS1" s="220"/>
      <c r="KT1" s="220"/>
      <c r="KU1" s="220"/>
      <c r="KV1" s="220"/>
      <c r="KW1" s="220"/>
      <c r="KX1" s="220"/>
      <c r="KY1" s="220"/>
      <c r="KZ1" s="220"/>
      <c r="LA1" s="220"/>
      <c r="LB1" s="220"/>
      <c r="LC1" s="220"/>
      <c r="LD1" s="220"/>
      <c r="LE1" s="220"/>
      <c r="LF1" s="220"/>
      <c r="LG1" s="220"/>
      <c r="LH1" s="220"/>
      <c r="LI1" s="220"/>
      <c r="LJ1" s="220"/>
      <c r="LK1" s="220"/>
      <c r="LL1" s="220"/>
      <c r="LM1" s="220"/>
      <c r="LN1" s="220"/>
      <c r="LO1" s="220"/>
      <c r="LP1" s="220"/>
      <c r="LQ1" s="220"/>
      <c r="LR1" s="220"/>
      <c r="LS1" s="220"/>
      <c r="LT1" s="220"/>
      <c r="LU1" s="220"/>
      <c r="LV1" s="220"/>
      <c r="LW1" s="220"/>
      <c r="LX1" s="220"/>
      <c r="LY1" s="220"/>
      <c r="LZ1" s="220"/>
      <c r="MA1" s="220"/>
      <c r="MB1" s="220"/>
      <c r="MC1" s="220"/>
      <c r="MD1" s="220"/>
      <c r="ME1" s="220"/>
      <c r="MF1" s="220"/>
      <c r="MG1" s="220"/>
      <c r="MH1" s="220"/>
      <c r="MI1" s="220"/>
      <c r="MJ1" s="220"/>
      <c r="MK1" s="220"/>
      <c r="ML1" s="220"/>
      <c r="MM1" s="220"/>
      <c r="MN1" s="220"/>
      <c r="MO1" s="220"/>
      <c r="MP1" s="220"/>
      <c r="MQ1" s="220"/>
      <c r="MR1" s="220"/>
      <c r="MS1" s="220"/>
      <c r="MT1" s="220"/>
      <c r="MU1" s="220"/>
      <c r="MV1" s="220"/>
      <c r="MW1" s="220"/>
      <c r="MX1" s="220"/>
      <c r="MY1" s="220"/>
      <c r="MZ1" s="220"/>
      <c r="NA1" s="220"/>
      <c r="NB1" s="220"/>
      <c r="NC1" s="220"/>
      <c r="ND1" s="220"/>
      <c r="NE1" s="220"/>
      <c r="NF1" s="220"/>
      <c r="NG1" s="220"/>
      <c r="NH1" s="220"/>
      <c r="NI1" s="220"/>
      <c r="NJ1" s="220"/>
      <c r="NK1" s="220"/>
      <c r="NL1" s="220"/>
      <c r="NM1" s="220"/>
      <c r="NN1" s="220"/>
      <c r="NO1" s="220"/>
      <c r="NP1" s="220"/>
      <c r="NQ1" s="220"/>
      <c r="NR1" s="220"/>
      <c r="NS1" s="220"/>
      <c r="NT1" s="220"/>
      <c r="NU1" s="220"/>
      <c r="NV1" s="220"/>
      <c r="NW1" s="220"/>
      <c r="NX1" s="220"/>
      <c r="NY1" s="220"/>
      <c r="NZ1" s="220"/>
      <c r="OA1" s="220"/>
      <c r="OB1" s="220"/>
      <c r="OC1" s="220"/>
      <c r="OD1" s="220"/>
      <c r="OE1" s="220"/>
      <c r="OF1" s="220"/>
      <c r="OG1" s="220"/>
      <c r="OH1" s="220"/>
      <c r="OI1" s="220"/>
      <c r="OJ1" s="220"/>
      <c r="OK1" s="220"/>
      <c r="OL1" s="220"/>
      <c r="OM1" s="220"/>
      <c r="ON1" s="220"/>
      <c r="OO1" s="220"/>
      <c r="OP1" s="220"/>
      <c r="OQ1" s="220"/>
      <c r="OR1" s="220"/>
      <c r="OS1" s="220"/>
      <c r="OT1" s="220"/>
      <c r="OU1" s="220"/>
      <c r="OV1" s="220"/>
      <c r="OW1" s="220"/>
      <c r="OX1" s="220"/>
      <c r="OY1" s="220"/>
      <c r="OZ1" s="220"/>
      <c r="PA1" s="220"/>
      <c r="PB1" s="220"/>
      <c r="PC1" s="220"/>
      <c r="PD1" s="220"/>
      <c r="PE1" s="220"/>
      <c r="PF1" s="220"/>
      <c r="PG1" s="220"/>
      <c r="PH1" s="220"/>
      <c r="PI1" s="220"/>
      <c r="PJ1" s="220"/>
      <c r="PK1" s="220"/>
      <c r="PL1" s="220"/>
      <c r="PM1" s="220"/>
      <c r="PN1" s="220"/>
      <c r="PO1" s="220"/>
      <c r="PP1" s="220"/>
      <c r="PQ1" s="220"/>
      <c r="PR1" s="220"/>
      <c r="PS1" s="220"/>
      <c r="PT1" s="220"/>
      <c r="PU1" s="220"/>
      <c r="PV1" s="220"/>
      <c r="PW1" s="220"/>
      <c r="PX1" s="220"/>
      <c r="PY1" s="220"/>
      <c r="PZ1" s="220"/>
      <c r="QA1" s="220"/>
      <c r="QB1" s="220"/>
      <c r="QC1" s="220"/>
      <c r="QD1" s="220"/>
      <c r="QE1" s="220"/>
      <c r="QF1" s="220"/>
      <c r="QG1" s="220"/>
      <c r="QH1" s="220"/>
      <c r="QI1" s="220"/>
      <c r="QJ1" s="220"/>
      <c r="QK1" s="220"/>
      <c r="QL1" s="220"/>
      <c r="QM1" s="220"/>
      <c r="QN1" s="220"/>
      <c r="QO1" s="220"/>
      <c r="QP1" s="220"/>
      <c r="QQ1" s="220"/>
      <c r="QR1" s="220"/>
      <c r="QS1" s="220"/>
      <c r="QT1" s="220"/>
      <c r="QU1" s="220"/>
      <c r="QV1" s="220"/>
      <c r="QW1" s="220"/>
      <c r="QX1" s="220"/>
      <c r="QY1" s="220"/>
      <c r="QZ1" s="220"/>
      <c r="RA1" s="220"/>
      <c r="RB1" s="220"/>
      <c r="RC1" s="220"/>
      <c r="RD1" s="220"/>
      <c r="RE1" s="220"/>
      <c r="RF1" s="220"/>
      <c r="RG1" s="220"/>
      <c r="RH1" s="220"/>
      <c r="RI1" s="220"/>
      <c r="RJ1" s="220"/>
      <c r="RK1" s="220"/>
      <c r="RL1" s="220"/>
      <c r="RM1" s="220"/>
      <c r="RN1" s="220"/>
      <c r="RO1" s="220"/>
      <c r="RP1" s="220"/>
      <c r="RQ1" s="220"/>
      <c r="RR1" s="220"/>
      <c r="RS1" s="220"/>
      <c r="RT1" s="220"/>
      <c r="RU1" s="220"/>
      <c r="RV1" s="220"/>
      <c r="RW1" s="220"/>
      <c r="RX1" s="220"/>
      <c r="RY1" s="220"/>
      <c r="RZ1" s="220"/>
      <c r="SA1" s="220"/>
      <c r="SB1" s="220"/>
      <c r="SC1" s="220"/>
      <c r="SD1" s="220"/>
      <c r="SE1" s="220"/>
      <c r="SF1" s="220"/>
      <c r="SG1" s="220"/>
      <c r="SH1" s="220"/>
      <c r="SI1" s="220"/>
      <c r="SJ1" s="220"/>
      <c r="SK1" s="220"/>
      <c r="SL1" s="220"/>
      <c r="SM1" s="220"/>
      <c r="SN1" s="220"/>
      <c r="SO1" s="220"/>
      <c r="SP1" s="220"/>
      <c r="SQ1" s="220"/>
      <c r="SR1" s="220"/>
      <c r="SS1" s="220"/>
      <c r="ST1" s="220"/>
      <c r="SU1" s="220"/>
      <c r="SV1" s="220"/>
      <c r="SW1" s="220"/>
      <c r="SX1" s="220"/>
      <c r="SY1" s="220"/>
      <c r="SZ1" s="220"/>
      <c r="TA1" s="220"/>
      <c r="TB1" s="220"/>
      <c r="TC1" s="220"/>
      <c r="TD1" s="220"/>
      <c r="TE1" s="220"/>
      <c r="TF1" s="220"/>
      <c r="TG1" s="220"/>
      <c r="TH1" s="220"/>
      <c r="TI1" s="220"/>
      <c r="TJ1" s="220"/>
      <c r="TK1" s="220"/>
      <c r="TL1" s="220"/>
      <c r="TM1" s="220"/>
      <c r="TN1" s="220"/>
      <c r="TO1" s="220"/>
      <c r="TP1" s="220"/>
      <c r="TQ1" s="220"/>
      <c r="TR1" s="220"/>
      <c r="TS1" s="220"/>
      <c r="TT1" s="220"/>
      <c r="TU1" s="220"/>
      <c r="TV1" s="220"/>
      <c r="TW1" s="220"/>
      <c r="TX1" s="220"/>
      <c r="TY1" s="220"/>
      <c r="TZ1" s="220"/>
      <c r="UA1" s="220"/>
      <c r="UB1" s="220"/>
      <c r="UC1" s="220"/>
      <c r="UD1" s="220"/>
      <c r="UE1" s="220"/>
      <c r="UF1" s="220"/>
      <c r="UG1" s="220"/>
      <c r="UH1" s="220"/>
      <c r="UI1" s="220"/>
      <c r="UJ1" s="220"/>
      <c r="UK1" s="220"/>
      <c r="UL1" s="220"/>
      <c r="UM1" s="220"/>
      <c r="UN1" s="220"/>
      <c r="UO1" s="220"/>
      <c r="UP1" s="220"/>
      <c r="UQ1" s="220"/>
      <c r="UR1" s="220"/>
      <c r="US1" s="220"/>
      <c r="UT1" s="220"/>
      <c r="UU1" s="220"/>
      <c r="UV1" s="220"/>
      <c r="UW1" s="220"/>
      <c r="UX1" s="220"/>
      <c r="UY1" s="220"/>
      <c r="UZ1" s="220"/>
      <c r="VA1" s="220"/>
      <c r="VB1" s="220"/>
      <c r="VC1" s="220"/>
      <c r="VD1" s="220"/>
      <c r="VE1" s="220"/>
      <c r="VF1" s="220"/>
      <c r="VG1" s="220"/>
      <c r="VH1" s="220"/>
      <c r="VI1" s="220"/>
      <c r="VJ1" s="220"/>
      <c r="VK1" s="220"/>
      <c r="VL1" s="220"/>
      <c r="VM1" s="220"/>
      <c r="VN1" s="220"/>
      <c r="VO1" s="220"/>
      <c r="VP1" s="220"/>
      <c r="VQ1" s="220"/>
      <c r="VR1" s="220"/>
      <c r="VS1" s="220"/>
      <c r="VT1" s="220"/>
      <c r="VU1" s="220"/>
    </row>
    <row r="2" spans="1:593" s="117" customFormat="1" ht="14.25" customHeight="1" x14ac:dyDescent="0.15">
      <c r="A2" s="232"/>
      <c r="B2" s="186" t="s">
        <v>438</v>
      </c>
      <c r="C2" s="187" t="s">
        <v>430</v>
      </c>
      <c r="D2" s="188"/>
      <c r="E2" s="188">
        <v>90</v>
      </c>
      <c r="F2" s="188">
        <v>30</v>
      </c>
      <c r="G2" s="188">
        <v>180</v>
      </c>
      <c r="H2" s="188">
        <v>90</v>
      </c>
      <c r="I2" s="188">
        <v>90</v>
      </c>
      <c r="J2" s="188"/>
      <c r="K2" s="188">
        <v>130</v>
      </c>
      <c r="L2" s="188">
        <v>90</v>
      </c>
      <c r="M2" s="188"/>
      <c r="N2" s="188">
        <v>20</v>
      </c>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8"/>
      <c r="AW2" s="188"/>
      <c r="AX2" s="188"/>
      <c r="AY2" s="188"/>
      <c r="AZ2" s="188"/>
      <c r="BA2" s="188"/>
      <c r="BB2" s="188"/>
      <c r="BC2" s="188"/>
      <c r="BD2" s="188"/>
      <c r="BE2" s="188"/>
      <c r="BF2" s="188"/>
      <c r="BG2" s="188"/>
      <c r="BH2" s="188"/>
      <c r="BI2" s="188"/>
      <c r="BJ2" s="188"/>
      <c r="BK2" s="188"/>
      <c r="BL2" s="188"/>
      <c r="BM2" s="188"/>
      <c r="BN2" s="188"/>
      <c r="BO2" s="188"/>
      <c r="BP2" s="188"/>
      <c r="BQ2" s="188"/>
      <c r="BR2" s="188"/>
      <c r="BS2" s="188"/>
      <c r="BT2" s="188"/>
      <c r="BU2" s="188"/>
      <c r="BV2" s="188"/>
      <c r="BW2" s="188"/>
      <c r="BX2" s="188"/>
      <c r="BY2" s="188"/>
      <c r="BZ2" s="188"/>
      <c r="CA2" s="188"/>
      <c r="CB2" s="188"/>
      <c r="CC2" s="188"/>
      <c r="CD2" s="188"/>
      <c r="CE2" s="188"/>
      <c r="CF2" s="188"/>
      <c r="CG2" s="188"/>
      <c r="CH2" s="188"/>
      <c r="CI2" s="188"/>
      <c r="CJ2" s="188"/>
      <c r="CK2" s="188"/>
      <c r="CL2" s="188"/>
      <c r="CM2" s="188"/>
      <c r="CN2" s="188"/>
      <c r="CO2" s="188"/>
      <c r="CP2" s="188"/>
      <c r="CQ2" s="188"/>
      <c r="CR2" s="188"/>
      <c r="CS2" s="188"/>
      <c r="CT2" s="188"/>
      <c r="CU2" s="188"/>
      <c r="CV2" s="188"/>
      <c r="CW2" s="188"/>
      <c r="CX2" s="188"/>
      <c r="CY2" s="188"/>
      <c r="CZ2" s="188"/>
      <c r="DA2" s="188"/>
      <c r="DB2" s="188"/>
      <c r="DC2" s="188"/>
      <c r="DD2" s="188"/>
      <c r="DE2" s="188"/>
      <c r="DF2" s="188"/>
      <c r="DG2" s="188"/>
      <c r="DH2" s="188"/>
      <c r="DI2" s="188"/>
      <c r="DJ2" s="188"/>
      <c r="DK2" s="188"/>
      <c r="DL2" s="188"/>
      <c r="DM2" s="188"/>
      <c r="DN2" s="188"/>
      <c r="DO2" s="188"/>
      <c r="DP2" s="188"/>
      <c r="DQ2" s="188"/>
      <c r="DR2" s="188"/>
      <c r="DS2" s="188"/>
      <c r="DT2" s="188"/>
      <c r="DU2" s="188"/>
      <c r="DV2" s="188"/>
      <c r="DW2" s="188"/>
      <c r="DX2" s="188"/>
      <c r="DY2" s="188"/>
      <c r="DZ2" s="188"/>
      <c r="EA2" s="188"/>
      <c r="EB2" s="188"/>
      <c r="EC2" s="188"/>
      <c r="ED2" s="188"/>
      <c r="EE2" s="188"/>
      <c r="EF2" s="188"/>
      <c r="EG2" s="188"/>
      <c r="EH2" s="188"/>
      <c r="EI2" s="188"/>
      <c r="EJ2" s="188"/>
      <c r="EK2" s="188"/>
      <c r="EL2" s="188"/>
      <c r="EM2" s="188"/>
      <c r="EN2" s="188"/>
      <c r="EO2" s="188"/>
      <c r="EP2" s="188"/>
      <c r="EQ2" s="188"/>
      <c r="ER2" s="188"/>
      <c r="ES2" s="188"/>
      <c r="ET2" s="188"/>
      <c r="EU2" s="188"/>
      <c r="EV2" s="188"/>
      <c r="EW2" s="188"/>
      <c r="EX2" s="188"/>
      <c r="EY2" s="188"/>
      <c r="EZ2" s="188"/>
      <c r="FA2" s="188"/>
      <c r="FB2" s="188"/>
      <c r="FC2" s="188"/>
      <c r="FD2" s="188"/>
      <c r="FE2" s="188"/>
      <c r="FF2" s="188"/>
      <c r="FG2" s="188"/>
      <c r="FH2" s="188"/>
      <c r="FI2" s="188"/>
      <c r="FJ2" s="188"/>
      <c r="FK2" s="188"/>
      <c r="FL2" s="188"/>
      <c r="FM2" s="188"/>
      <c r="FN2" s="188"/>
      <c r="FO2" s="188"/>
      <c r="FP2" s="188"/>
      <c r="FQ2" s="188"/>
      <c r="FR2" s="188"/>
      <c r="FS2" s="188"/>
      <c r="FT2" s="188"/>
      <c r="FU2" s="188"/>
      <c r="FV2" s="188"/>
      <c r="FW2" s="188"/>
      <c r="FX2" s="188"/>
      <c r="FY2" s="188"/>
      <c r="FZ2" s="188"/>
      <c r="GA2" s="188"/>
      <c r="GB2" s="188"/>
      <c r="GC2" s="188"/>
      <c r="GD2" s="188"/>
      <c r="GE2" s="188"/>
      <c r="GF2" s="188"/>
      <c r="GG2" s="188"/>
      <c r="GH2" s="188"/>
      <c r="GI2" s="188"/>
      <c r="GJ2" s="188"/>
      <c r="GK2" s="188"/>
      <c r="GL2" s="188"/>
      <c r="GM2" s="188"/>
      <c r="GN2" s="188"/>
      <c r="GO2" s="188"/>
      <c r="GP2" s="188"/>
      <c r="GQ2" s="188"/>
      <c r="GR2" s="188"/>
      <c r="GS2" s="188"/>
      <c r="GT2" s="188"/>
      <c r="GU2" s="188"/>
      <c r="GV2" s="188"/>
      <c r="GW2" s="188"/>
      <c r="GX2" s="188"/>
      <c r="GY2" s="188"/>
      <c r="GZ2" s="188"/>
      <c r="HA2" s="188"/>
      <c r="HB2" s="188"/>
      <c r="HC2" s="188"/>
      <c r="HD2" s="188"/>
      <c r="HE2" s="188"/>
      <c r="HF2" s="188"/>
      <c r="HG2" s="188"/>
      <c r="HH2" s="188"/>
      <c r="HI2" s="188"/>
      <c r="HJ2" s="188"/>
      <c r="HK2" s="188"/>
      <c r="HL2" s="188"/>
      <c r="HM2" s="188"/>
      <c r="HN2" s="188"/>
      <c r="HO2" s="188"/>
      <c r="HP2" s="188"/>
      <c r="HQ2" s="188"/>
      <c r="HR2" s="188"/>
      <c r="HS2" s="188"/>
      <c r="HT2" s="188"/>
      <c r="HU2" s="188"/>
      <c r="HV2" s="188"/>
      <c r="HW2" s="188"/>
      <c r="HX2" s="188"/>
      <c r="HY2" s="188"/>
      <c r="HZ2" s="188"/>
      <c r="IA2" s="188"/>
      <c r="IB2" s="188"/>
      <c r="IC2" s="188"/>
      <c r="ID2" s="188"/>
      <c r="IE2" s="188"/>
      <c r="IF2" s="188"/>
      <c r="IG2" s="188"/>
      <c r="IH2" s="188"/>
      <c r="II2" s="188"/>
      <c r="IJ2" s="188"/>
      <c r="IK2" s="188"/>
      <c r="IL2" s="188"/>
      <c r="IM2" s="188"/>
      <c r="IN2" s="188"/>
      <c r="IO2" s="188"/>
      <c r="IP2" s="188"/>
      <c r="IQ2" s="188"/>
      <c r="IR2" s="188"/>
      <c r="IS2" s="188"/>
      <c r="IT2" s="188"/>
      <c r="IU2" s="188"/>
      <c r="IV2" s="188"/>
      <c r="IW2" s="188"/>
      <c r="IX2" s="188"/>
      <c r="IY2" s="188"/>
      <c r="IZ2" s="188"/>
      <c r="JA2" s="188"/>
      <c r="JB2" s="188"/>
      <c r="JC2" s="188"/>
      <c r="JD2" s="188"/>
      <c r="JE2" s="188"/>
      <c r="JF2" s="188"/>
      <c r="JG2" s="188"/>
      <c r="JH2" s="188"/>
      <c r="JI2" s="188"/>
      <c r="JJ2" s="188"/>
      <c r="JK2" s="188"/>
      <c r="JL2" s="188"/>
      <c r="JM2" s="188"/>
      <c r="JN2" s="188"/>
      <c r="JO2" s="188"/>
      <c r="JP2" s="188"/>
      <c r="JQ2" s="188"/>
      <c r="JR2" s="188"/>
      <c r="JS2" s="188"/>
      <c r="JT2" s="188"/>
      <c r="JU2" s="188"/>
      <c r="JV2" s="188"/>
      <c r="JW2" s="188"/>
      <c r="JX2" s="188"/>
      <c r="JY2" s="188"/>
      <c r="JZ2" s="188"/>
      <c r="KA2" s="188"/>
      <c r="KB2" s="188"/>
      <c r="KC2" s="188"/>
      <c r="KD2" s="188"/>
      <c r="KE2" s="188"/>
      <c r="KF2" s="188"/>
      <c r="KG2" s="188"/>
      <c r="KH2" s="188"/>
      <c r="KI2" s="188"/>
      <c r="KJ2" s="188"/>
      <c r="KK2" s="188"/>
      <c r="KL2" s="188"/>
      <c r="KM2" s="188"/>
      <c r="KN2" s="188"/>
      <c r="KO2" s="188"/>
      <c r="KP2" s="188"/>
      <c r="KQ2" s="188"/>
      <c r="KR2" s="188"/>
      <c r="KS2" s="188"/>
      <c r="KT2" s="188"/>
      <c r="KU2" s="188"/>
      <c r="KV2" s="188"/>
      <c r="KW2" s="188"/>
      <c r="KX2" s="188"/>
      <c r="KY2" s="188"/>
      <c r="KZ2" s="188"/>
      <c r="LA2" s="188"/>
      <c r="LB2" s="188"/>
      <c r="LC2" s="188"/>
      <c r="LD2" s="188"/>
      <c r="LE2" s="188"/>
      <c r="LF2" s="188"/>
      <c r="LG2" s="188"/>
      <c r="LH2" s="188"/>
      <c r="LI2" s="188"/>
      <c r="LJ2" s="188"/>
      <c r="LK2" s="188"/>
      <c r="LL2" s="188"/>
      <c r="LM2" s="188"/>
      <c r="LN2" s="188"/>
      <c r="LO2" s="188"/>
      <c r="LP2" s="188"/>
      <c r="LQ2" s="188"/>
      <c r="LR2" s="188"/>
      <c r="LS2" s="188"/>
      <c r="LT2" s="188"/>
      <c r="LU2" s="188"/>
      <c r="LV2" s="188"/>
      <c r="LW2" s="188"/>
      <c r="LX2" s="188"/>
      <c r="LY2" s="188"/>
      <c r="LZ2" s="188"/>
      <c r="MA2" s="188"/>
      <c r="MB2" s="188"/>
      <c r="MC2" s="188"/>
      <c r="MD2" s="188"/>
      <c r="ME2" s="188"/>
      <c r="MF2" s="188"/>
      <c r="MG2" s="188"/>
      <c r="MH2" s="188"/>
      <c r="MI2" s="188"/>
      <c r="MJ2" s="188"/>
      <c r="MK2" s="188"/>
      <c r="ML2" s="188"/>
      <c r="MM2" s="188"/>
      <c r="MN2" s="188"/>
      <c r="MO2" s="188"/>
      <c r="MP2" s="188"/>
      <c r="MQ2" s="188"/>
      <c r="MR2" s="188"/>
      <c r="MS2" s="188"/>
      <c r="MT2" s="188"/>
      <c r="MU2" s="188"/>
      <c r="MV2" s="188"/>
      <c r="MW2" s="188"/>
      <c r="MX2" s="188"/>
      <c r="MY2" s="188"/>
      <c r="MZ2" s="188"/>
      <c r="NA2" s="188"/>
      <c r="NB2" s="188"/>
      <c r="NC2" s="188"/>
      <c r="ND2" s="188"/>
      <c r="NE2" s="188"/>
      <c r="NF2" s="188"/>
      <c r="NG2" s="188"/>
      <c r="NH2" s="188"/>
      <c r="NI2" s="188"/>
      <c r="NJ2" s="188"/>
      <c r="NK2" s="188"/>
      <c r="NL2" s="188"/>
      <c r="NM2" s="188"/>
      <c r="NN2" s="188"/>
      <c r="NO2" s="188"/>
      <c r="NP2" s="188"/>
      <c r="NQ2" s="188"/>
      <c r="NR2" s="188"/>
      <c r="NS2" s="188"/>
      <c r="NT2" s="188"/>
      <c r="NU2" s="188"/>
      <c r="NV2" s="188"/>
      <c r="NW2" s="188"/>
      <c r="NX2" s="188"/>
      <c r="NY2" s="188"/>
      <c r="NZ2" s="188"/>
      <c r="OA2" s="188"/>
      <c r="OB2" s="188"/>
      <c r="OC2" s="188"/>
      <c r="OD2" s="188"/>
      <c r="OE2" s="188"/>
      <c r="OF2" s="188"/>
      <c r="OG2" s="188"/>
      <c r="OH2" s="188"/>
      <c r="OI2" s="188"/>
      <c r="OJ2" s="188"/>
      <c r="OK2" s="188"/>
      <c r="OL2" s="188"/>
      <c r="OM2" s="188"/>
      <c r="ON2" s="188"/>
      <c r="OO2" s="188"/>
      <c r="OP2" s="188"/>
      <c r="OQ2" s="188"/>
      <c r="OR2" s="188"/>
      <c r="OS2" s="188"/>
      <c r="OT2" s="188"/>
      <c r="OU2" s="188"/>
      <c r="OV2" s="188"/>
      <c r="OW2" s="188"/>
      <c r="OX2" s="188"/>
      <c r="OY2" s="188"/>
      <c r="OZ2" s="188"/>
      <c r="PA2" s="188"/>
      <c r="PB2" s="188"/>
      <c r="PC2" s="188"/>
      <c r="PD2" s="188"/>
      <c r="PE2" s="188"/>
      <c r="PF2" s="188"/>
      <c r="PG2" s="188"/>
      <c r="PH2" s="188"/>
      <c r="PI2" s="188"/>
      <c r="PJ2" s="188"/>
      <c r="PK2" s="188"/>
      <c r="PL2" s="188"/>
      <c r="PM2" s="188"/>
      <c r="PN2" s="188"/>
      <c r="PO2" s="188"/>
      <c r="PP2" s="188"/>
      <c r="PQ2" s="188"/>
      <c r="PR2" s="188"/>
      <c r="PS2" s="188"/>
      <c r="PT2" s="188"/>
      <c r="PU2" s="188"/>
      <c r="PV2" s="188"/>
      <c r="PW2" s="188"/>
      <c r="PX2" s="188"/>
      <c r="PY2" s="188"/>
      <c r="PZ2" s="188"/>
      <c r="QA2" s="188"/>
      <c r="QB2" s="188"/>
      <c r="QC2" s="188"/>
      <c r="QD2" s="188"/>
      <c r="QE2" s="188"/>
      <c r="QF2" s="188"/>
      <c r="QG2" s="188"/>
      <c r="QH2" s="188"/>
      <c r="QI2" s="188"/>
      <c r="QJ2" s="188"/>
      <c r="QK2" s="188"/>
      <c r="QL2" s="188"/>
      <c r="QM2" s="188"/>
      <c r="QN2" s="188"/>
      <c r="QO2" s="188"/>
      <c r="QP2" s="188"/>
      <c r="QQ2" s="188"/>
      <c r="QR2" s="188"/>
      <c r="QS2" s="188"/>
      <c r="QT2" s="188"/>
      <c r="QU2" s="188"/>
      <c r="QV2" s="188"/>
      <c r="QW2" s="188"/>
      <c r="QX2" s="188"/>
      <c r="QY2" s="188"/>
      <c r="QZ2" s="188"/>
      <c r="RA2" s="188"/>
      <c r="RB2" s="188"/>
      <c r="RC2" s="188"/>
      <c r="RD2" s="188"/>
      <c r="RE2" s="188"/>
      <c r="RF2" s="188"/>
      <c r="RG2" s="188"/>
      <c r="RH2" s="188"/>
      <c r="RI2" s="188"/>
      <c r="RJ2" s="188"/>
      <c r="RK2" s="188"/>
      <c r="RL2" s="188"/>
      <c r="RM2" s="188"/>
      <c r="RN2" s="188"/>
      <c r="RO2" s="188"/>
      <c r="RP2" s="188"/>
      <c r="RQ2" s="188"/>
      <c r="RR2" s="188"/>
      <c r="RS2" s="188"/>
      <c r="RT2" s="188"/>
      <c r="RU2" s="188"/>
      <c r="RV2" s="188"/>
      <c r="RW2" s="188"/>
      <c r="RX2" s="188"/>
      <c r="RY2" s="188"/>
      <c r="RZ2" s="188"/>
      <c r="SA2" s="188"/>
      <c r="SB2" s="188"/>
      <c r="SC2" s="188"/>
      <c r="SD2" s="188"/>
      <c r="SE2" s="188"/>
      <c r="SF2" s="188"/>
      <c r="SG2" s="188"/>
      <c r="SH2" s="188"/>
      <c r="SI2" s="188"/>
      <c r="SJ2" s="188"/>
      <c r="SK2" s="188"/>
      <c r="SL2" s="188"/>
      <c r="SM2" s="188"/>
      <c r="SN2" s="188"/>
      <c r="SO2" s="188"/>
      <c r="SP2" s="188"/>
      <c r="SQ2" s="188"/>
      <c r="SR2" s="188"/>
      <c r="SS2" s="188"/>
      <c r="ST2" s="188"/>
      <c r="SU2" s="188"/>
      <c r="SV2" s="188"/>
      <c r="SW2" s="188"/>
      <c r="SX2" s="188"/>
      <c r="SY2" s="188"/>
      <c r="SZ2" s="188"/>
      <c r="TA2" s="188"/>
      <c r="TB2" s="188"/>
      <c r="TC2" s="188"/>
      <c r="TD2" s="188"/>
      <c r="TE2" s="188"/>
      <c r="TF2" s="188"/>
      <c r="TG2" s="188"/>
      <c r="TH2" s="188"/>
      <c r="TI2" s="188"/>
      <c r="TJ2" s="188"/>
      <c r="TK2" s="188"/>
      <c r="TL2" s="188"/>
      <c r="TM2" s="188"/>
      <c r="TN2" s="188"/>
      <c r="TO2" s="188"/>
      <c r="TP2" s="188"/>
      <c r="TQ2" s="188"/>
      <c r="TR2" s="188"/>
      <c r="TS2" s="188"/>
      <c r="TT2" s="188"/>
      <c r="TU2" s="188"/>
      <c r="TV2" s="188"/>
      <c r="TW2" s="188"/>
      <c r="TX2" s="188"/>
      <c r="TY2" s="188"/>
      <c r="TZ2" s="188"/>
      <c r="UA2" s="188"/>
      <c r="UB2" s="188"/>
      <c r="UC2" s="188"/>
      <c r="UD2" s="188"/>
      <c r="UE2" s="188"/>
      <c r="UF2" s="188"/>
      <c r="UG2" s="188"/>
      <c r="UH2" s="188"/>
      <c r="UI2" s="188"/>
      <c r="UJ2" s="188"/>
      <c r="UK2" s="188"/>
      <c r="UL2" s="188"/>
      <c r="UM2" s="188"/>
      <c r="UN2" s="188"/>
      <c r="UO2" s="188"/>
      <c r="UP2" s="188"/>
      <c r="UQ2" s="188"/>
      <c r="UR2" s="188"/>
      <c r="US2" s="188"/>
      <c r="UT2" s="188"/>
      <c r="UU2" s="188"/>
      <c r="UV2" s="188"/>
      <c r="UW2" s="188"/>
      <c r="UX2" s="188"/>
      <c r="UY2" s="188"/>
      <c r="UZ2" s="188"/>
      <c r="VA2" s="188"/>
      <c r="VB2" s="188"/>
      <c r="VC2" s="188"/>
      <c r="VD2" s="188"/>
      <c r="VE2" s="188"/>
      <c r="VF2" s="188"/>
      <c r="VG2" s="188"/>
      <c r="VH2" s="188"/>
      <c r="VI2" s="188"/>
      <c r="VJ2" s="188"/>
      <c r="VK2" s="188"/>
      <c r="VL2" s="188"/>
      <c r="VM2" s="188"/>
      <c r="VN2" s="188"/>
      <c r="VO2" s="188"/>
      <c r="VP2" s="188"/>
      <c r="VQ2" s="188"/>
      <c r="VR2" s="188"/>
      <c r="VS2" s="188"/>
      <c r="VT2" s="188"/>
      <c r="VU2" s="188"/>
    </row>
    <row r="3" spans="1:593" s="117" customFormat="1" ht="28.5" customHeight="1" x14ac:dyDescent="0.15">
      <c r="A3" s="232"/>
      <c r="B3" s="189" t="s">
        <v>439</v>
      </c>
      <c r="C3" s="190" t="s">
        <v>430</v>
      </c>
      <c r="D3" s="191"/>
      <c r="E3" s="191">
        <v>120</v>
      </c>
      <c r="F3" s="191">
        <v>120</v>
      </c>
      <c r="G3" s="191">
        <v>70</v>
      </c>
      <c r="H3" s="191">
        <v>30</v>
      </c>
      <c r="I3" s="191">
        <v>60</v>
      </c>
      <c r="J3" s="191">
        <v>45</v>
      </c>
      <c r="K3" s="191">
        <v>75</v>
      </c>
      <c r="L3" s="191">
        <v>105</v>
      </c>
      <c r="M3" s="191">
        <v>120</v>
      </c>
      <c r="N3" s="191">
        <v>60</v>
      </c>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91"/>
      <c r="AW3" s="191"/>
      <c r="AX3" s="191"/>
      <c r="AY3" s="191"/>
      <c r="AZ3" s="191"/>
      <c r="BA3" s="191"/>
      <c r="BB3" s="191"/>
      <c r="BC3" s="191"/>
      <c r="BD3" s="191"/>
      <c r="BE3" s="191"/>
      <c r="BF3" s="191"/>
      <c r="BG3" s="191"/>
      <c r="BH3" s="191"/>
      <c r="BI3" s="191"/>
      <c r="BJ3" s="191"/>
      <c r="BK3" s="191"/>
      <c r="BL3" s="191"/>
      <c r="BM3" s="191"/>
      <c r="BN3" s="191"/>
      <c r="BO3" s="191"/>
      <c r="BP3" s="191"/>
      <c r="BQ3" s="191"/>
      <c r="BR3" s="191"/>
      <c r="BS3" s="191"/>
      <c r="BT3" s="191"/>
      <c r="BU3" s="191"/>
      <c r="BV3" s="191"/>
      <c r="BW3" s="191"/>
      <c r="BX3" s="191"/>
      <c r="BY3" s="191"/>
      <c r="BZ3" s="191"/>
      <c r="CA3" s="191"/>
      <c r="CB3" s="191"/>
      <c r="CC3" s="191"/>
      <c r="CD3" s="191"/>
      <c r="CE3" s="191"/>
      <c r="CF3" s="191"/>
      <c r="CG3" s="191"/>
      <c r="CH3" s="191"/>
      <c r="CI3" s="191"/>
      <c r="CJ3" s="191"/>
      <c r="CK3" s="191"/>
      <c r="CL3" s="191"/>
      <c r="CM3" s="191"/>
      <c r="CN3" s="191"/>
      <c r="CO3" s="191"/>
      <c r="CP3" s="191"/>
      <c r="CQ3" s="191"/>
      <c r="CR3" s="191"/>
      <c r="CS3" s="191"/>
      <c r="CT3" s="191"/>
      <c r="CU3" s="191"/>
      <c r="CV3" s="191"/>
      <c r="CW3" s="191"/>
      <c r="CX3" s="191"/>
      <c r="CY3" s="191"/>
      <c r="CZ3" s="191"/>
      <c r="DA3" s="191"/>
      <c r="DB3" s="191"/>
      <c r="DC3" s="191"/>
      <c r="DD3" s="191"/>
      <c r="DE3" s="191"/>
      <c r="DF3" s="191"/>
      <c r="DG3" s="191"/>
      <c r="DH3" s="191"/>
      <c r="DI3" s="191"/>
      <c r="DJ3" s="191"/>
      <c r="DK3" s="191"/>
      <c r="DL3" s="191"/>
      <c r="DM3" s="191"/>
      <c r="DN3" s="191"/>
      <c r="DO3" s="191"/>
      <c r="DP3" s="191"/>
      <c r="DQ3" s="191"/>
      <c r="DR3" s="191"/>
      <c r="DS3" s="191"/>
      <c r="DT3" s="191"/>
      <c r="DU3" s="191"/>
      <c r="DV3" s="191"/>
      <c r="DW3" s="191"/>
      <c r="DX3" s="191"/>
      <c r="DY3" s="191"/>
      <c r="DZ3" s="191"/>
      <c r="EA3" s="191"/>
      <c r="EB3" s="191"/>
      <c r="EC3" s="191"/>
      <c r="ED3" s="191"/>
      <c r="EE3" s="191"/>
      <c r="EF3" s="191"/>
      <c r="EG3" s="191"/>
      <c r="EH3" s="191"/>
      <c r="EI3" s="191"/>
      <c r="EJ3" s="191"/>
      <c r="EK3" s="191"/>
      <c r="EL3" s="191"/>
      <c r="EM3" s="191"/>
      <c r="EN3" s="191"/>
      <c r="EO3" s="191"/>
      <c r="EP3" s="191"/>
      <c r="EQ3" s="191"/>
      <c r="ER3" s="191"/>
      <c r="ES3" s="191"/>
      <c r="ET3" s="191"/>
      <c r="EU3" s="191"/>
      <c r="EV3" s="191"/>
      <c r="EW3" s="191"/>
      <c r="EX3" s="191"/>
      <c r="EY3" s="191"/>
      <c r="EZ3" s="191"/>
      <c r="FA3" s="191"/>
      <c r="FB3" s="191"/>
      <c r="FC3" s="191"/>
      <c r="FD3" s="191"/>
      <c r="FE3" s="191"/>
      <c r="FF3" s="191"/>
      <c r="FG3" s="191"/>
      <c r="FH3" s="191"/>
      <c r="FI3" s="191"/>
      <c r="FJ3" s="191"/>
      <c r="FK3" s="191"/>
      <c r="FL3" s="191"/>
      <c r="FM3" s="191"/>
      <c r="FN3" s="191"/>
      <c r="FO3" s="191"/>
      <c r="FP3" s="191"/>
      <c r="FQ3" s="191"/>
      <c r="FR3" s="191"/>
      <c r="FS3" s="191"/>
      <c r="FT3" s="191"/>
      <c r="FU3" s="191"/>
      <c r="FV3" s="191"/>
      <c r="FW3" s="191"/>
      <c r="FX3" s="191"/>
      <c r="FY3" s="191"/>
      <c r="FZ3" s="191"/>
      <c r="GA3" s="191"/>
      <c r="GB3" s="191"/>
      <c r="GC3" s="191"/>
      <c r="GD3" s="191"/>
      <c r="GE3" s="191"/>
      <c r="GF3" s="191"/>
      <c r="GG3" s="191"/>
      <c r="GH3" s="191"/>
      <c r="GI3" s="191"/>
      <c r="GJ3" s="191"/>
      <c r="GK3" s="191"/>
      <c r="GL3" s="191"/>
      <c r="GM3" s="191"/>
      <c r="GN3" s="191"/>
      <c r="GO3" s="191"/>
      <c r="GP3" s="191"/>
      <c r="GQ3" s="191"/>
      <c r="GR3" s="191"/>
      <c r="GS3" s="191"/>
      <c r="GT3" s="191"/>
      <c r="GU3" s="191"/>
      <c r="GV3" s="191"/>
      <c r="GW3" s="191"/>
      <c r="GX3" s="191"/>
      <c r="GY3" s="191"/>
      <c r="GZ3" s="191"/>
      <c r="HA3" s="191"/>
      <c r="HB3" s="191"/>
      <c r="HC3" s="191"/>
      <c r="HD3" s="191"/>
      <c r="HE3" s="191"/>
      <c r="HF3" s="191"/>
      <c r="HG3" s="191"/>
      <c r="HH3" s="191"/>
      <c r="HI3" s="191"/>
      <c r="HJ3" s="191"/>
      <c r="HK3" s="191"/>
      <c r="HL3" s="191"/>
      <c r="HM3" s="191"/>
      <c r="HN3" s="191"/>
      <c r="HO3" s="191"/>
      <c r="HP3" s="191"/>
      <c r="HQ3" s="191"/>
      <c r="HR3" s="191"/>
      <c r="HS3" s="191"/>
      <c r="HT3" s="191"/>
      <c r="HU3" s="191"/>
      <c r="HV3" s="191"/>
      <c r="HW3" s="191"/>
      <c r="HX3" s="191"/>
      <c r="HY3" s="191"/>
      <c r="HZ3" s="191"/>
      <c r="IA3" s="191"/>
      <c r="IB3" s="191"/>
      <c r="IC3" s="191"/>
      <c r="ID3" s="191"/>
      <c r="IE3" s="191"/>
      <c r="IF3" s="191"/>
      <c r="IG3" s="191"/>
      <c r="IH3" s="191"/>
      <c r="II3" s="191"/>
      <c r="IJ3" s="191"/>
      <c r="IK3" s="191"/>
      <c r="IL3" s="191"/>
      <c r="IM3" s="191"/>
      <c r="IN3" s="191"/>
      <c r="IO3" s="191"/>
      <c r="IP3" s="191"/>
      <c r="IQ3" s="191"/>
      <c r="IR3" s="191"/>
      <c r="IS3" s="191"/>
      <c r="IT3" s="191"/>
      <c r="IU3" s="191"/>
      <c r="IV3" s="191"/>
      <c r="IW3" s="191"/>
      <c r="IX3" s="191"/>
      <c r="IY3" s="191"/>
      <c r="IZ3" s="191"/>
      <c r="JA3" s="191"/>
      <c r="JB3" s="191"/>
      <c r="JC3" s="191"/>
      <c r="JD3" s="191"/>
      <c r="JE3" s="191"/>
      <c r="JF3" s="191"/>
      <c r="JG3" s="191"/>
      <c r="JH3" s="191"/>
      <c r="JI3" s="191"/>
      <c r="JJ3" s="191"/>
      <c r="JK3" s="191"/>
      <c r="JL3" s="191"/>
      <c r="JM3" s="191"/>
      <c r="JN3" s="191"/>
      <c r="JO3" s="191"/>
      <c r="JP3" s="191"/>
      <c r="JQ3" s="191"/>
      <c r="JR3" s="191"/>
      <c r="JS3" s="191"/>
      <c r="JT3" s="191"/>
      <c r="JU3" s="191"/>
      <c r="JV3" s="191"/>
      <c r="JW3" s="191"/>
      <c r="JX3" s="191"/>
      <c r="JY3" s="191"/>
      <c r="JZ3" s="191"/>
      <c r="KA3" s="191"/>
      <c r="KB3" s="191"/>
      <c r="KC3" s="191"/>
      <c r="KD3" s="191"/>
      <c r="KE3" s="191"/>
      <c r="KF3" s="191"/>
      <c r="KG3" s="191"/>
      <c r="KH3" s="191"/>
      <c r="KI3" s="191"/>
      <c r="KJ3" s="191"/>
      <c r="KK3" s="191"/>
      <c r="KL3" s="191"/>
      <c r="KM3" s="191"/>
      <c r="KN3" s="191"/>
      <c r="KO3" s="191"/>
      <c r="KP3" s="191"/>
      <c r="KQ3" s="191"/>
      <c r="KR3" s="191"/>
      <c r="KS3" s="191"/>
      <c r="KT3" s="191"/>
      <c r="KU3" s="191"/>
      <c r="KV3" s="191"/>
      <c r="KW3" s="191"/>
      <c r="KX3" s="191"/>
      <c r="KY3" s="191"/>
      <c r="KZ3" s="191"/>
      <c r="LA3" s="191"/>
      <c r="LB3" s="191"/>
      <c r="LC3" s="191"/>
      <c r="LD3" s="191"/>
      <c r="LE3" s="191"/>
      <c r="LF3" s="191"/>
      <c r="LG3" s="191"/>
      <c r="LH3" s="191"/>
      <c r="LI3" s="191"/>
      <c r="LJ3" s="191"/>
      <c r="LK3" s="191"/>
      <c r="LL3" s="191"/>
      <c r="LM3" s="191"/>
      <c r="LN3" s="191"/>
      <c r="LO3" s="191"/>
      <c r="LP3" s="191"/>
      <c r="LQ3" s="191"/>
      <c r="LR3" s="191"/>
      <c r="LS3" s="191"/>
      <c r="LT3" s="191"/>
      <c r="LU3" s="191"/>
      <c r="LV3" s="191"/>
      <c r="LW3" s="191"/>
      <c r="LX3" s="191"/>
      <c r="LY3" s="191"/>
      <c r="LZ3" s="191"/>
      <c r="MA3" s="191"/>
      <c r="MB3" s="191"/>
      <c r="MC3" s="191"/>
      <c r="MD3" s="191"/>
      <c r="ME3" s="191"/>
      <c r="MF3" s="191"/>
      <c r="MG3" s="191"/>
      <c r="MH3" s="191"/>
      <c r="MI3" s="191"/>
      <c r="MJ3" s="191"/>
      <c r="MK3" s="191"/>
      <c r="ML3" s="191"/>
      <c r="MM3" s="191"/>
      <c r="MN3" s="191"/>
      <c r="MO3" s="191"/>
      <c r="MP3" s="191"/>
      <c r="MQ3" s="191"/>
      <c r="MR3" s="191"/>
      <c r="MS3" s="191"/>
      <c r="MT3" s="191"/>
      <c r="MU3" s="191"/>
      <c r="MV3" s="191"/>
      <c r="MW3" s="191"/>
      <c r="MX3" s="191"/>
      <c r="MY3" s="191"/>
      <c r="MZ3" s="191"/>
      <c r="NA3" s="191"/>
      <c r="NB3" s="191"/>
      <c r="NC3" s="191"/>
      <c r="ND3" s="191"/>
      <c r="NE3" s="191"/>
      <c r="NF3" s="191"/>
      <c r="NG3" s="191"/>
      <c r="NH3" s="191"/>
      <c r="NI3" s="191"/>
      <c r="NJ3" s="191"/>
      <c r="NK3" s="191"/>
      <c r="NL3" s="191"/>
      <c r="NM3" s="191"/>
      <c r="NN3" s="191"/>
      <c r="NO3" s="191"/>
      <c r="NP3" s="191"/>
      <c r="NQ3" s="191"/>
      <c r="NR3" s="191"/>
      <c r="NS3" s="191"/>
      <c r="NT3" s="191"/>
      <c r="NU3" s="191"/>
      <c r="NV3" s="191"/>
      <c r="NW3" s="191"/>
      <c r="NX3" s="191"/>
      <c r="NY3" s="191"/>
      <c r="NZ3" s="191"/>
      <c r="OA3" s="191"/>
      <c r="OB3" s="191"/>
      <c r="OC3" s="191"/>
      <c r="OD3" s="191"/>
      <c r="OE3" s="191"/>
      <c r="OF3" s="191"/>
      <c r="OG3" s="191"/>
      <c r="OH3" s="191"/>
      <c r="OI3" s="191"/>
      <c r="OJ3" s="191"/>
      <c r="OK3" s="191"/>
      <c r="OL3" s="191"/>
      <c r="OM3" s="191"/>
      <c r="ON3" s="191"/>
      <c r="OO3" s="191"/>
      <c r="OP3" s="191"/>
      <c r="OQ3" s="191"/>
      <c r="OR3" s="191"/>
      <c r="OS3" s="191"/>
      <c r="OT3" s="191"/>
      <c r="OU3" s="191"/>
      <c r="OV3" s="191"/>
      <c r="OW3" s="191"/>
      <c r="OX3" s="191"/>
      <c r="OY3" s="191"/>
      <c r="OZ3" s="191"/>
      <c r="PA3" s="191"/>
      <c r="PB3" s="191"/>
      <c r="PC3" s="191"/>
      <c r="PD3" s="191"/>
      <c r="PE3" s="191"/>
      <c r="PF3" s="191"/>
      <c r="PG3" s="191"/>
      <c r="PH3" s="191"/>
      <c r="PI3" s="191"/>
      <c r="PJ3" s="191"/>
      <c r="PK3" s="191"/>
      <c r="PL3" s="191"/>
      <c r="PM3" s="191"/>
      <c r="PN3" s="191"/>
      <c r="PO3" s="191"/>
      <c r="PP3" s="191"/>
      <c r="PQ3" s="191"/>
      <c r="PR3" s="191"/>
      <c r="PS3" s="191"/>
      <c r="PT3" s="191"/>
      <c r="PU3" s="191"/>
      <c r="PV3" s="191"/>
      <c r="PW3" s="191"/>
      <c r="PX3" s="191"/>
      <c r="PY3" s="191"/>
      <c r="PZ3" s="191"/>
      <c r="QA3" s="191"/>
      <c r="QB3" s="191"/>
      <c r="QC3" s="191"/>
      <c r="QD3" s="191"/>
      <c r="QE3" s="191"/>
      <c r="QF3" s="191"/>
      <c r="QG3" s="191"/>
      <c r="QH3" s="191"/>
      <c r="QI3" s="191"/>
      <c r="QJ3" s="191"/>
      <c r="QK3" s="191"/>
      <c r="QL3" s="191"/>
      <c r="QM3" s="191"/>
      <c r="QN3" s="191"/>
      <c r="QO3" s="191"/>
      <c r="QP3" s="191"/>
      <c r="QQ3" s="191"/>
      <c r="QR3" s="191"/>
      <c r="QS3" s="191"/>
      <c r="QT3" s="191"/>
      <c r="QU3" s="191"/>
      <c r="QV3" s="191"/>
      <c r="QW3" s="191"/>
      <c r="QX3" s="191"/>
      <c r="QY3" s="191"/>
      <c r="QZ3" s="191"/>
      <c r="RA3" s="191"/>
      <c r="RB3" s="191"/>
      <c r="RC3" s="191"/>
      <c r="RD3" s="191"/>
      <c r="RE3" s="191"/>
      <c r="RF3" s="191"/>
      <c r="RG3" s="191"/>
      <c r="RH3" s="191"/>
      <c r="RI3" s="191"/>
      <c r="RJ3" s="191"/>
      <c r="RK3" s="191"/>
      <c r="RL3" s="191"/>
      <c r="RM3" s="191"/>
      <c r="RN3" s="191"/>
      <c r="RO3" s="191"/>
      <c r="RP3" s="191"/>
      <c r="RQ3" s="191"/>
      <c r="RR3" s="191"/>
      <c r="RS3" s="191"/>
      <c r="RT3" s="191"/>
      <c r="RU3" s="191"/>
      <c r="RV3" s="191"/>
      <c r="RW3" s="191"/>
      <c r="RX3" s="191"/>
      <c r="RY3" s="191"/>
      <c r="RZ3" s="191"/>
      <c r="SA3" s="191"/>
      <c r="SB3" s="191"/>
      <c r="SC3" s="191"/>
      <c r="SD3" s="191"/>
      <c r="SE3" s="191"/>
      <c r="SF3" s="191"/>
      <c r="SG3" s="191"/>
      <c r="SH3" s="191"/>
      <c r="SI3" s="191"/>
      <c r="SJ3" s="191"/>
      <c r="SK3" s="191"/>
      <c r="SL3" s="191"/>
      <c r="SM3" s="191"/>
      <c r="SN3" s="191"/>
      <c r="SO3" s="191"/>
      <c r="SP3" s="191"/>
      <c r="SQ3" s="191"/>
      <c r="SR3" s="191"/>
      <c r="SS3" s="191"/>
      <c r="ST3" s="191"/>
      <c r="SU3" s="191"/>
      <c r="SV3" s="191"/>
      <c r="SW3" s="191"/>
      <c r="SX3" s="191"/>
      <c r="SY3" s="191"/>
      <c r="SZ3" s="191"/>
      <c r="TA3" s="191"/>
      <c r="TB3" s="191"/>
      <c r="TC3" s="191"/>
      <c r="TD3" s="191"/>
      <c r="TE3" s="191"/>
      <c r="TF3" s="191"/>
      <c r="TG3" s="191"/>
      <c r="TH3" s="191"/>
      <c r="TI3" s="191"/>
      <c r="TJ3" s="191"/>
      <c r="TK3" s="191"/>
      <c r="TL3" s="191"/>
      <c r="TM3" s="191"/>
      <c r="TN3" s="191"/>
      <c r="TO3" s="191"/>
      <c r="TP3" s="191"/>
      <c r="TQ3" s="191"/>
      <c r="TR3" s="191"/>
      <c r="TS3" s="191"/>
      <c r="TT3" s="191"/>
      <c r="TU3" s="191"/>
      <c r="TV3" s="191"/>
      <c r="TW3" s="191"/>
      <c r="TX3" s="191"/>
      <c r="TY3" s="191"/>
      <c r="TZ3" s="191"/>
      <c r="UA3" s="191"/>
      <c r="UB3" s="191"/>
      <c r="UC3" s="191"/>
      <c r="UD3" s="191"/>
      <c r="UE3" s="191"/>
      <c r="UF3" s="191"/>
      <c r="UG3" s="191"/>
      <c r="UH3" s="191"/>
      <c r="UI3" s="191"/>
      <c r="UJ3" s="191"/>
      <c r="UK3" s="191"/>
      <c r="UL3" s="191"/>
      <c r="UM3" s="191"/>
      <c r="UN3" s="191"/>
      <c r="UO3" s="191"/>
      <c r="UP3" s="191"/>
      <c r="UQ3" s="191"/>
      <c r="UR3" s="191"/>
      <c r="US3" s="191"/>
      <c r="UT3" s="191"/>
      <c r="UU3" s="191"/>
      <c r="UV3" s="191"/>
      <c r="UW3" s="191"/>
      <c r="UX3" s="191"/>
      <c r="UY3" s="191"/>
      <c r="UZ3" s="191"/>
      <c r="VA3" s="191"/>
      <c r="VB3" s="191"/>
      <c r="VC3" s="191"/>
      <c r="VD3" s="191"/>
      <c r="VE3" s="191"/>
      <c r="VF3" s="191"/>
      <c r="VG3" s="191"/>
      <c r="VH3" s="191"/>
      <c r="VI3" s="191"/>
      <c r="VJ3" s="191"/>
      <c r="VK3" s="191"/>
      <c r="VL3" s="191"/>
      <c r="VM3" s="191"/>
      <c r="VN3" s="191"/>
      <c r="VO3" s="191"/>
      <c r="VP3" s="191"/>
      <c r="VQ3" s="191"/>
      <c r="VR3" s="191"/>
      <c r="VS3" s="191"/>
      <c r="VT3" s="191"/>
      <c r="VU3" s="191"/>
    </row>
    <row r="4" spans="1:593" s="117" customFormat="1" ht="28.5" customHeight="1" x14ac:dyDescent="0.15">
      <c r="A4" s="232"/>
      <c r="B4" s="186" t="s">
        <v>440</v>
      </c>
      <c r="C4" s="187" t="s">
        <v>430</v>
      </c>
      <c r="D4" s="188">
        <v>210</v>
      </c>
      <c r="E4" s="188">
        <f>45*3</f>
        <v>135</v>
      </c>
      <c r="F4" s="188">
        <f>45*5</f>
        <v>225</v>
      </c>
      <c r="G4" s="188">
        <v>180</v>
      </c>
      <c r="H4" s="188">
        <v>270</v>
      </c>
      <c r="I4" s="188">
        <v>240</v>
      </c>
      <c r="J4" s="188">
        <v>90</v>
      </c>
      <c r="K4" s="188">
        <v>60</v>
      </c>
      <c r="L4" s="188">
        <v>150</v>
      </c>
      <c r="M4" s="188">
        <v>260</v>
      </c>
      <c r="N4" s="188">
        <f>45*3</f>
        <v>135</v>
      </c>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8"/>
      <c r="BC4" s="188"/>
      <c r="BD4" s="188"/>
      <c r="BE4" s="188"/>
      <c r="BF4" s="188"/>
      <c r="BG4" s="188"/>
      <c r="BH4" s="188"/>
      <c r="BI4" s="188"/>
      <c r="BJ4" s="188"/>
      <c r="BK4" s="188"/>
      <c r="BL4" s="188"/>
      <c r="BM4" s="188"/>
      <c r="BN4" s="188"/>
      <c r="BO4" s="188"/>
      <c r="BP4" s="188"/>
      <c r="BQ4" s="188"/>
      <c r="BR4" s="188"/>
      <c r="BS4" s="188"/>
      <c r="BT4" s="188"/>
      <c r="BU4" s="188"/>
      <c r="BV4" s="188"/>
      <c r="BW4" s="188"/>
      <c r="BX4" s="188"/>
      <c r="BY4" s="188"/>
      <c r="BZ4" s="188"/>
      <c r="CA4" s="188"/>
      <c r="CB4" s="188"/>
      <c r="CC4" s="188"/>
      <c r="CD4" s="188"/>
      <c r="CE4" s="188"/>
      <c r="CF4" s="188"/>
      <c r="CG4" s="188"/>
      <c r="CH4" s="188"/>
      <c r="CI4" s="188"/>
      <c r="CJ4" s="188"/>
      <c r="CK4" s="188"/>
      <c r="CL4" s="188"/>
      <c r="CM4" s="188"/>
      <c r="CN4" s="188"/>
      <c r="CO4" s="188"/>
      <c r="CP4" s="188"/>
      <c r="CQ4" s="188"/>
      <c r="CR4" s="188"/>
      <c r="CS4" s="188"/>
      <c r="CT4" s="188"/>
      <c r="CU4" s="188"/>
      <c r="CV4" s="188"/>
      <c r="CW4" s="188"/>
      <c r="CX4" s="188"/>
      <c r="CY4" s="188"/>
      <c r="CZ4" s="188"/>
      <c r="DA4" s="188"/>
      <c r="DB4" s="188"/>
      <c r="DC4" s="188"/>
      <c r="DD4" s="188"/>
      <c r="DE4" s="188"/>
      <c r="DF4" s="188"/>
      <c r="DG4" s="188"/>
      <c r="DH4" s="188"/>
      <c r="DI4" s="188"/>
      <c r="DJ4" s="188"/>
      <c r="DK4" s="188"/>
      <c r="DL4" s="188"/>
      <c r="DM4" s="188"/>
      <c r="DN4" s="188"/>
      <c r="DO4" s="188"/>
      <c r="DP4" s="188"/>
      <c r="DQ4" s="188"/>
      <c r="DR4" s="188"/>
      <c r="DS4" s="188"/>
      <c r="DT4" s="188"/>
      <c r="DU4" s="188"/>
      <c r="DV4" s="188"/>
      <c r="DW4" s="188"/>
      <c r="DX4" s="188"/>
      <c r="DY4" s="188"/>
      <c r="DZ4" s="188"/>
      <c r="EA4" s="188"/>
      <c r="EB4" s="188"/>
      <c r="EC4" s="188"/>
      <c r="ED4" s="188"/>
      <c r="EE4" s="188"/>
      <c r="EF4" s="188"/>
      <c r="EG4" s="188"/>
      <c r="EH4" s="188"/>
      <c r="EI4" s="188"/>
      <c r="EJ4" s="188"/>
      <c r="EK4" s="188"/>
      <c r="EL4" s="188"/>
      <c r="EM4" s="188"/>
      <c r="EN4" s="188"/>
      <c r="EO4" s="188"/>
      <c r="EP4" s="188"/>
      <c r="EQ4" s="188"/>
      <c r="ER4" s="188"/>
      <c r="ES4" s="188"/>
      <c r="ET4" s="188"/>
      <c r="EU4" s="188"/>
      <c r="EV4" s="188"/>
      <c r="EW4" s="188"/>
      <c r="EX4" s="188"/>
      <c r="EY4" s="188"/>
      <c r="EZ4" s="188"/>
      <c r="FA4" s="188"/>
      <c r="FB4" s="188"/>
      <c r="FC4" s="188"/>
      <c r="FD4" s="188"/>
      <c r="FE4" s="188"/>
      <c r="FF4" s="188"/>
      <c r="FG4" s="188"/>
      <c r="FH4" s="188"/>
      <c r="FI4" s="188"/>
      <c r="FJ4" s="188"/>
      <c r="FK4" s="188"/>
      <c r="FL4" s="188"/>
      <c r="FM4" s="188"/>
      <c r="FN4" s="188"/>
      <c r="FO4" s="188"/>
      <c r="FP4" s="188"/>
      <c r="FQ4" s="188"/>
      <c r="FR4" s="188"/>
      <c r="FS4" s="188"/>
      <c r="FT4" s="188"/>
      <c r="FU4" s="188"/>
      <c r="FV4" s="188"/>
      <c r="FW4" s="188"/>
      <c r="FX4" s="188"/>
      <c r="FY4" s="188"/>
      <c r="FZ4" s="188"/>
      <c r="GA4" s="188"/>
      <c r="GB4" s="188"/>
      <c r="GC4" s="188"/>
      <c r="GD4" s="188"/>
      <c r="GE4" s="188"/>
      <c r="GF4" s="188"/>
      <c r="GG4" s="188"/>
      <c r="GH4" s="188"/>
      <c r="GI4" s="188"/>
      <c r="GJ4" s="188"/>
      <c r="GK4" s="188"/>
      <c r="GL4" s="188"/>
      <c r="GM4" s="188"/>
      <c r="GN4" s="188"/>
      <c r="GO4" s="188"/>
      <c r="GP4" s="188"/>
      <c r="GQ4" s="188"/>
      <c r="GR4" s="188"/>
      <c r="GS4" s="188"/>
      <c r="GT4" s="188"/>
      <c r="GU4" s="188"/>
      <c r="GV4" s="188"/>
      <c r="GW4" s="188"/>
      <c r="GX4" s="188"/>
      <c r="GY4" s="188"/>
      <c r="GZ4" s="188"/>
      <c r="HA4" s="188"/>
      <c r="HB4" s="188"/>
      <c r="HC4" s="188"/>
      <c r="HD4" s="188"/>
      <c r="HE4" s="188"/>
      <c r="HF4" s="188"/>
      <c r="HG4" s="188"/>
      <c r="HH4" s="188"/>
      <c r="HI4" s="188"/>
      <c r="HJ4" s="188"/>
      <c r="HK4" s="188"/>
      <c r="HL4" s="188"/>
      <c r="HM4" s="188"/>
      <c r="HN4" s="188"/>
      <c r="HO4" s="188"/>
      <c r="HP4" s="188"/>
      <c r="HQ4" s="188"/>
      <c r="HR4" s="188"/>
      <c r="HS4" s="188"/>
      <c r="HT4" s="188"/>
      <c r="HU4" s="188"/>
      <c r="HV4" s="188"/>
      <c r="HW4" s="188"/>
      <c r="HX4" s="188"/>
      <c r="HY4" s="188"/>
      <c r="HZ4" s="188"/>
      <c r="IA4" s="188"/>
      <c r="IB4" s="188"/>
      <c r="IC4" s="188"/>
      <c r="ID4" s="188"/>
      <c r="IE4" s="188"/>
      <c r="IF4" s="188"/>
      <c r="IG4" s="188"/>
      <c r="IH4" s="188"/>
      <c r="II4" s="188"/>
      <c r="IJ4" s="188"/>
      <c r="IK4" s="188"/>
      <c r="IL4" s="188"/>
      <c r="IM4" s="188"/>
      <c r="IN4" s="188"/>
      <c r="IO4" s="188"/>
      <c r="IP4" s="188"/>
      <c r="IQ4" s="188"/>
      <c r="IR4" s="188"/>
      <c r="IS4" s="188"/>
      <c r="IT4" s="188"/>
      <c r="IU4" s="188"/>
      <c r="IV4" s="188"/>
      <c r="IW4" s="188"/>
      <c r="IX4" s="188"/>
      <c r="IY4" s="188"/>
      <c r="IZ4" s="188"/>
      <c r="JA4" s="188"/>
      <c r="JB4" s="188"/>
      <c r="JC4" s="188"/>
      <c r="JD4" s="188"/>
      <c r="JE4" s="188"/>
      <c r="JF4" s="188"/>
      <c r="JG4" s="188"/>
      <c r="JH4" s="188"/>
      <c r="JI4" s="188"/>
      <c r="JJ4" s="188"/>
      <c r="JK4" s="188"/>
      <c r="JL4" s="188"/>
      <c r="JM4" s="188"/>
      <c r="JN4" s="188"/>
      <c r="JO4" s="188"/>
      <c r="JP4" s="188"/>
      <c r="JQ4" s="188"/>
      <c r="JR4" s="188"/>
      <c r="JS4" s="188"/>
      <c r="JT4" s="188"/>
      <c r="JU4" s="188"/>
      <c r="JV4" s="188"/>
      <c r="JW4" s="188"/>
      <c r="JX4" s="188"/>
      <c r="JY4" s="188"/>
      <c r="JZ4" s="188"/>
      <c r="KA4" s="188"/>
      <c r="KB4" s="188"/>
      <c r="KC4" s="188"/>
      <c r="KD4" s="188"/>
      <c r="KE4" s="188"/>
      <c r="KF4" s="188"/>
      <c r="KG4" s="188"/>
      <c r="KH4" s="188"/>
      <c r="KI4" s="188"/>
      <c r="KJ4" s="188"/>
      <c r="KK4" s="188"/>
      <c r="KL4" s="188"/>
      <c r="KM4" s="188"/>
      <c r="KN4" s="188"/>
      <c r="KO4" s="188"/>
      <c r="KP4" s="188"/>
      <c r="KQ4" s="188"/>
      <c r="KR4" s="188"/>
      <c r="KS4" s="188"/>
      <c r="KT4" s="188"/>
      <c r="KU4" s="188"/>
      <c r="KV4" s="188"/>
      <c r="KW4" s="188"/>
      <c r="KX4" s="188"/>
      <c r="KY4" s="188"/>
      <c r="KZ4" s="188"/>
      <c r="LA4" s="188"/>
      <c r="LB4" s="188"/>
      <c r="LC4" s="188"/>
      <c r="LD4" s="188"/>
      <c r="LE4" s="188"/>
      <c r="LF4" s="188"/>
      <c r="LG4" s="188"/>
      <c r="LH4" s="188"/>
      <c r="LI4" s="188"/>
      <c r="LJ4" s="188"/>
      <c r="LK4" s="188"/>
      <c r="LL4" s="188"/>
      <c r="LM4" s="188"/>
      <c r="LN4" s="188"/>
      <c r="LO4" s="188"/>
      <c r="LP4" s="188"/>
      <c r="LQ4" s="188"/>
      <c r="LR4" s="188"/>
      <c r="LS4" s="188"/>
      <c r="LT4" s="188"/>
      <c r="LU4" s="188"/>
      <c r="LV4" s="188"/>
      <c r="LW4" s="188"/>
      <c r="LX4" s="188"/>
      <c r="LY4" s="188"/>
      <c r="LZ4" s="188"/>
      <c r="MA4" s="188"/>
      <c r="MB4" s="188"/>
      <c r="MC4" s="188"/>
      <c r="MD4" s="188"/>
      <c r="ME4" s="188"/>
      <c r="MF4" s="188"/>
      <c r="MG4" s="188"/>
      <c r="MH4" s="188"/>
      <c r="MI4" s="188"/>
      <c r="MJ4" s="188"/>
      <c r="MK4" s="188"/>
      <c r="ML4" s="188"/>
      <c r="MM4" s="188"/>
      <c r="MN4" s="188"/>
      <c r="MO4" s="188"/>
      <c r="MP4" s="188"/>
      <c r="MQ4" s="188"/>
      <c r="MR4" s="188"/>
      <c r="MS4" s="188"/>
      <c r="MT4" s="188"/>
      <c r="MU4" s="188"/>
      <c r="MV4" s="188"/>
      <c r="MW4" s="188"/>
      <c r="MX4" s="188"/>
      <c r="MY4" s="188"/>
      <c r="MZ4" s="188"/>
      <c r="NA4" s="188"/>
      <c r="NB4" s="188"/>
      <c r="NC4" s="188"/>
      <c r="ND4" s="188"/>
      <c r="NE4" s="188"/>
      <c r="NF4" s="188"/>
      <c r="NG4" s="188"/>
      <c r="NH4" s="188"/>
      <c r="NI4" s="188"/>
      <c r="NJ4" s="188"/>
      <c r="NK4" s="188"/>
      <c r="NL4" s="188"/>
      <c r="NM4" s="188"/>
      <c r="NN4" s="188"/>
      <c r="NO4" s="188"/>
      <c r="NP4" s="188"/>
      <c r="NQ4" s="188"/>
      <c r="NR4" s="188"/>
      <c r="NS4" s="188"/>
      <c r="NT4" s="188"/>
      <c r="NU4" s="188"/>
      <c r="NV4" s="188"/>
      <c r="NW4" s="188"/>
      <c r="NX4" s="188"/>
      <c r="NY4" s="188"/>
      <c r="NZ4" s="188"/>
      <c r="OA4" s="188"/>
      <c r="OB4" s="188"/>
      <c r="OC4" s="188"/>
      <c r="OD4" s="188"/>
      <c r="OE4" s="188"/>
      <c r="OF4" s="188"/>
      <c r="OG4" s="188"/>
      <c r="OH4" s="188"/>
      <c r="OI4" s="188"/>
      <c r="OJ4" s="188"/>
      <c r="OK4" s="188"/>
      <c r="OL4" s="188"/>
      <c r="OM4" s="188"/>
      <c r="ON4" s="188"/>
      <c r="OO4" s="188"/>
      <c r="OP4" s="188"/>
      <c r="OQ4" s="188"/>
      <c r="OR4" s="188"/>
      <c r="OS4" s="188"/>
      <c r="OT4" s="188"/>
      <c r="OU4" s="188"/>
      <c r="OV4" s="188"/>
      <c r="OW4" s="188"/>
      <c r="OX4" s="188"/>
      <c r="OY4" s="188"/>
      <c r="OZ4" s="188"/>
      <c r="PA4" s="188"/>
      <c r="PB4" s="188"/>
      <c r="PC4" s="188"/>
      <c r="PD4" s="188"/>
      <c r="PE4" s="188"/>
      <c r="PF4" s="188"/>
      <c r="PG4" s="188"/>
      <c r="PH4" s="188"/>
      <c r="PI4" s="188"/>
      <c r="PJ4" s="188"/>
      <c r="PK4" s="188"/>
      <c r="PL4" s="188"/>
      <c r="PM4" s="188"/>
      <c r="PN4" s="188"/>
      <c r="PO4" s="188"/>
      <c r="PP4" s="188"/>
      <c r="PQ4" s="188"/>
      <c r="PR4" s="188"/>
      <c r="PS4" s="188"/>
      <c r="PT4" s="188"/>
      <c r="PU4" s="188"/>
      <c r="PV4" s="188"/>
      <c r="PW4" s="188"/>
      <c r="PX4" s="188"/>
      <c r="PY4" s="188"/>
      <c r="PZ4" s="188"/>
      <c r="QA4" s="188"/>
      <c r="QB4" s="188"/>
      <c r="QC4" s="188"/>
      <c r="QD4" s="188"/>
      <c r="QE4" s="188"/>
      <c r="QF4" s="188"/>
      <c r="QG4" s="188"/>
      <c r="QH4" s="188"/>
      <c r="QI4" s="188"/>
      <c r="QJ4" s="188"/>
      <c r="QK4" s="188"/>
      <c r="QL4" s="188"/>
      <c r="QM4" s="188"/>
      <c r="QN4" s="188"/>
      <c r="QO4" s="188"/>
      <c r="QP4" s="188"/>
      <c r="QQ4" s="188"/>
      <c r="QR4" s="188"/>
      <c r="QS4" s="188"/>
      <c r="QT4" s="188"/>
      <c r="QU4" s="188"/>
      <c r="QV4" s="188"/>
      <c r="QW4" s="188"/>
      <c r="QX4" s="188"/>
      <c r="QY4" s="188"/>
      <c r="QZ4" s="188"/>
      <c r="RA4" s="188"/>
      <c r="RB4" s="188"/>
      <c r="RC4" s="188"/>
      <c r="RD4" s="188"/>
      <c r="RE4" s="188"/>
      <c r="RF4" s="188"/>
      <c r="RG4" s="188"/>
      <c r="RH4" s="188"/>
      <c r="RI4" s="188"/>
      <c r="RJ4" s="188"/>
      <c r="RK4" s="188"/>
      <c r="RL4" s="188"/>
      <c r="RM4" s="188"/>
      <c r="RN4" s="188"/>
      <c r="RO4" s="188"/>
      <c r="RP4" s="188"/>
      <c r="RQ4" s="188"/>
      <c r="RR4" s="188"/>
      <c r="RS4" s="188"/>
      <c r="RT4" s="188"/>
      <c r="RU4" s="188"/>
      <c r="RV4" s="188"/>
      <c r="RW4" s="188"/>
      <c r="RX4" s="188"/>
      <c r="RY4" s="188"/>
      <c r="RZ4" s="188"/>
      <c r="SA4" s="188"/>
      <c r="SB4" s="188"/>
      <c r="SC4" s="188"/>
      <c r="SD4" s="188"/>
      <c r="SE4" s="188"/>
      <c r="SF4" s="188"/>
      <c r="SG4" s="188"/>
      <c r="SH4" s="188"/>
      <c r="SI4" s="188"/>
      <c r="SJ4" s="188"/>
      <c r="SK4" s="188"/>
      <c r="SL4" s="188"/>
      <c r="SM4" s="188"/>
      <c r="SN4" s="188"/>
      <c r="SO4" s="188"/>
      <c r="SP4" s="188"/>
      <c r="SQ4" s="188"/>
      <c r="SR4" s="188"/>
      <c r="SS4" s="188"/>
      <c r="ST4" s="188"/>
      <c r="SU4" s="188"/>
      <c r="SV4" s="188"/>
      <c r="SW4" s="188"/>
      <c r="SX4" s="188"/>
      <c r="SY4" s="188"/>
      <c r="SZ4" s="188"/>
      <c r="TA4" s="188"/>
      <c r="TB4" s="188"/>
      <c r="TC4" s="188"/>
      <c r="TD4" s="188"/>
      <c r="TE4" s="188"/>
      <c r="TF4" s="188"/>
      <c r="TG4" s="188"/>
      <c r="TH4" s="188"/>
      <c r="TI4" s="188"/>
      <c r="TJ4" s="188"/>
      <c r="TK4" s="188"/>
      <c r="TL4" s="188"/>
      <c r="TM4" s="188"/>
      <c r="TN4" s="188"/>
      <c r="TO4" s="188"/>
      <c r="TP4" s="188"/>
      <c r="TQ4" s="188"/>
      <c r="TR4" s="188"/>
      <c r="TS4" s="188"/>
      <c r="TT4" s="188"/>
      <c r="TU4" s="188"/>
      <c r="TV4" s="188"/>
      <c r="TW4" s="188"/>
      <c r="TX4" s="188"/>
      <c r="TY4" s="188"/>
      <c r="TZ4" s="188"/>
      <c r="UA4" s="188"/>
      <c r="UB4" s="188"/>
      <c r="UC4" s="188"/>
      <c r="UD4" s="188"/>
      <c r="UE4" s="188"/>
      <c r="UF4" s="188"/>
      <c r="UG4" s="188"/>
      <c r="UH4" s="188"/>
      <c r="UI4" s="188"/>
      <c r="UJ4" s="188"/>
      <c r="UK4" s="188"/>
      <c r="UL4" s="188"/>
      <c r="UM4" s="188"/>
      <c r="UN4" s="188"/>
      <c r="UO4" s="188"/>
      <c r="UP4" s="188"/>
      <c r="UQ4" s="188"/>
      <c r="UR4" s="188"/>
      <c r="US4" s="188"/>
      <c r="UT4" s="188"/>
      <c r="UU4" s="188"/>
      <c r="UV4" s="188"/>
      <c r="UW4" s="188"/>
      <c r="UX4" s="188"/>
      <c r="UY4" s="188"/>
      <c r="UZ4" s="188"/>
      <c r="VA4" s="188"/>
      <c r="VB4" s="188"/>
      <c r="VC4" s="188"/>
      <c r="VD4" s="188"/>
      <c r="VE4" s="188"/>
      <c r="VF4" s="188"/>
      <c r="VG4" s="188"/>
      <c r="VH4" s="188"/>
      <c r="VI4" s="188"/>
      <c r="VJ4" s="188"/>
      <c r="VK4" s="188"/>
      <c r="VL4" s="188"/>
      <c r="VM4" s="188"/>
      <c r="VN4" s="188"/>
      <c r="VO4" s="188"/>
      <c r="VP4" s="188"/>
      <c r="VQ4" s="188"/>
      <c r="VR4" s="188"/>
      <c r="VS4" s="188"/>
      <c r="VT4" s="188"/>
      <c r="VU4" s="188"/>
    </row>
    <row r="5" spans="1:593" s="117" customFormat="1" ht="14.25" customHeight="1" x14ac:dyDescent="0.15">
      <c r="A5" s="232"/>
      <c r="B5" s="189" t="s">
        <v>290</v>
      </c>
      <c r="C5" s="190" t="s">
        <v>430</v>
      </c>
      <c r="D5" s="191">
        <v>20</v>
      </c>
      <c r="E5" s="191">
        <v>0</v>
      </c>
      <c r="F5" s="191">
        <v>30</v>
      </c>
      <c r="G5" s="191">
        <v>25</v>
      </c>
      <c r="H5" s="191">
        <v>20</v>
      </c>
      <c r="I5" s="191">
        <v>0</v>
      </c>
      <c r="J5" s="191">
        <v>0</v>
      </c>
      <c r="K5" s="191">
        <v>15</v>
      </c>
      <c r="L5" s="191">
        <v>0</v>
      </c>
      <c r="M5" s="191"/>
      <c r="N5" s="191">
        <v>30</v>
      </c>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c r="CK5" s="191"/>
      <c r="CL5" s="191"/>
      <c r="CM5" s="191"/>
      <c r="CN5" s="191"/>
      <c r="CO5" s="191"/>
      <c r="CP5" s="191"/>
      <c r="CQ5" s="191"/>
      <c r="CR5" s="191"/>
      <c r="CS5" s="191"/>
      <c r="CT5" s="191"/>
      <c r="CU5" s="191"/>
      <c r="CV5" s="191"/>
      <c r="CW5" s="191"/>
      <c r="CX5" s="191"/>
      <c r="CY5" s="191"/>
      <c r="CZ5" s="191"/>
      <c r="DA5" s="191"/>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K5" s="191"/>
      <c r="EL5" s="191"/>
      <c r="EM5" s="191"/>
      <c r="EN5" s="191"/>
      <c r="EO5" s="191"/>
      <c r="EP5" s="191"/>
      <c r="EQ5" s="191"/>
      <c r="ER5" s="191"/>
      <c r="ES5" s="191"/>
      <c r="ET5" s="191"/>
      <c r="EU5" s="191"/>
      <c r="EV5" s="191"/>
      <c r="EW5" s="191"/>
      <c r="EX5" s="191"/>
      <c r="EY5" s="191"/>
      <c r="EZ5" s="191"/>
      <c r="FA5" s="191"/>
      <c r="FB5" s="191"/>
      <c r="FC5" s="191"/>
      <c r="FD5" s="191"/>
      <c r="FE5" s="191"/>
      <c r="FF5" s="191"/>
      <c r="FG5" s="191"/>
      <c r="FH5" s="191"/>
      <c r="FI5" s="191"/>
      <c r="FJ5" s="191"/>
      <c r="FK5" s="191"/>
      <c r="FL5" s="191"/>
      <c r="FM5" s="191"/>
      <c r="FN5" s="191"/>
      <c r="FO5" s="191"/>
      <c r="FP5" s="191"/>
      <c r="FQ5" s="191"/>
      <c r="FR5" s="191"/>
      <c r="FS5" s="191"/>
      <c r="FT5" s="191"/>
      <c r="FU5" s="191"/>
      <c r="FV5" s="191"/>
      <c r="FW5" s="191"/>
      <c r="FX5" s="191"/>
      <c r="FY5" s="191"/>
      <c r="FZ5" s="191"/>
      <c r="GA5" s="191"/>
      <c r="GB5" s="191"/>
      <c r="GC5" s="191"/>
      <c r="GD5" s="191"/>
      <c r="GE5" s="191"/>
      <c r="GF5" s="191"/>
      <c r="GG5" s="191"/>
      <c r="GH5" s="191"/>
      <c r="GI5" s="191"/>
      <c r="GJ5" s="191"/>
      <c r="GK5" s="191"/>
      <c r="GL5" s="191"/>
      <c r="GM5" s="191"/>
      <c r="GN5" s="191"/>
      <c r="GO5" s="191"/>
      <c r="GP5" s="191"/>
      <c r="GQ5" s="191"/>
      <c r="GR5" s="191"/>
      <c r="GS5" s="191"/>
      <c r="GT5" s="191"/>
      <c r="GU5" s="191"/>
      <c r="GV5" s="191"/>
      <c r="GW5" s="191"/>
      <c r="GX5" s="191"/>
      <c r="GY5" s="191"/>
      <c r="GZ5" s="191"/>
      <c r="HA5" s="191"/>
      <c r="HB5" s="191"/>
      <c r="HC5" s="191"/>
      <c r="HD5" s="191"/>
      <c r="HE5" s="191"/>
      <c r="HF5" s="191"/>
      <c r="HG5" s="191"/>
      <c r="HH5" s="191"/>
      <c r="HI5" s="191"/>
      <c r="HJ5" s="191"/>
      <c r="HK5" s="191"/>
      <c r="HL5" s="191"/>
      <c r="HM5" s="191"/>
      <c r="HN5" s="191"/>
      <c r="HO5" s="191"/>
      <c r="HP5" s="191"/>
      <c r="HQ5" s="191"/>
      <c r="HR5" s="191"/>
      <c r="HS5" s="191"/>
      <c r="HT5" s="191"/>
      <c r="HU5" s="191"/>
      <c r="HV5" s="191"/>
      <c r="HW5" s="191"/>
      <c r="HX5" s="191"/>
      <c r="HY5" s="191"/>
      <c r="HZ5" s="191"/>
      <c r="IA5" s="191"/>
      <c r="IB5" s="191"/>
      <c r="IC5" s="191"/>
      <c r="ID5" s="191"/>
      <c r="IE5" s="191"/>
      <c r="IF5" s="191"/>
      <c r="IG5" s="191"/>
      <c r="IH5" s="191"/>
      <c r="II5" s="191"/>
      <c r="IJ5" s="191"/>
      <c r="IK5" s="191"/>
      <c r="IL5" s="191"/>
      <c r="IM5" s="191"/>
      <c r="IN5" s="191"/>
      <c r="IO5" s="191"/>
      <c r="IP5" s="191"/>
      <c r="IQ5" s="191"/>
      <c r="IR5" s="191"/>
      <c r="IS5" s="191"/>
      <c r="IT5" s="191"/>
      <c r="IU5" s="191"/>
      <c r="IV5" s="191"/>
      <c r="IW5" s="191"/>
      <c r="IX5" s="191"/>
      <c r="IY5" s="191"/>
      <c r="IZ5" s="191"/>
      <c r="JA5" s="191"/>
      <c r="JB5" s="191"/>
      <c r="JC5" s="191"/>
      <c r="JD5" s="191"/>
      <c r="JE5" s="191"/>
      <c r="JF5" s="191"/>
      <c r="JG5" s="191"/>
      <c r="JH5" s="191"/>
      <c r="JI5" s="191"/>
      <c r="JJ5" s="191"/>
      <c r="JK5" s="191"/>
      <c r="JL5" s="191"/>
      <c r="JM5" s="191"/>
      <c r="JN5" s="191"/>
      <c r="JO5" s="191"/>
      <c r="JP5" s="191"/>
      <c r="JQ5" s="191"/>
      <c r="JR5" s="191"/>
      <c r="JS5" s="191"/>
      <c r="JT5" s="191"/>
      <c r="JU5" s="191"/>
      <c r="JV5" s="191"/>
      <c r="JW5" s="191"/>
      <c r="JX5" s="191"/>
      <c r="JY5" s="191"/>
      <c r="JZ5" s="191"/>
      <c r="KA5" s="191"/>
      <c r="KB5" s="191"/>
      <c r="KC5" s="191"/>
      <c r="KD5" s="191"/>
      <c r="KE5" s="191"/>
      <c r="KF5" s="191"/>
      <c r="KG5" s="191"/>
      <c r="KH5" s="191"/>
      <c r="KI5" s="191"/>
      <c r="KJ5" s="191"/>
      <c r="KK5" s="191"/>
      <c r="KL5" s="191"/>
      <c r="KM5" s="191"/>
      <c r="KN5" s="191"/>
      <c r="KO5" s="191"/>
      <c r="KP5" s="191"/>
      <c r="KQ5" s="191"/>
      <c r="KR5" s="191"/>
      <c r="KS5" s="191"/>
      <c r="KT5" s="191"/>
      <c r="KU5" s="191"/>
      <c r="KV5" s="191"/>
      <c r="KW5" s="191"/>
      <c r="KX5" s="191"/>
      <c r="KY5" s="191"/>
      <c r="KZ5" s="191"/>
      <c r="LA5" s="191"/>
      <c r="LB5" s="191"/>
      <c r="LC5" s="191"/>
      <c r="LD5" s="191"/>
      <c r="LE5" s="191"/>
      <c r="LF5" s="191"/>
      <c r="LG5" s="191"/>
      <c r="LH5" s="191"/>
      <c r="LI5" s="191"/>
      <c r="LJ5" s="191"/>
      <c r="LK5" s="191"/>
      <c r="LL5" s="191"/>
      <c r="LM5" s="191"/>
      <c r="LN5" s="191"/>
      <c r="LO5" s="191"/>
      <c r="LP5" s="191"/>
      <c r="LQ5" s="191"/>
      <c r="LR5" s="191"/>
      <c r="LS5" s="191"/>
      <c r="LT5" s="191"/>
      <c r="LU5" s="191"/>
      <c r="LV5" s="191"/>
      <c r="LW5" s="191"/>
      <c r="LX5" s="191"/>
      <c r="LY5" s="191"/>
      <c r="LZ5" s="191"/>
      <c r="MA5" s="191"/>
      <c r="MB5" s="191"/>
      <c r="MC5" s="191"/>
      <c r="MD5" s="191"/>
      <c r="ME5" s="191"/>
      <c r="MF5" s="191"/>
      <c r="MG5" s="191"/>
      <c r="MH5" s="191"/>
      <c r="MI5" s="191"/>
      <c r="MJ5" s="191"/>
      <c r="MK5" s="191"/>
      <c r="ML5" s="191"/>
      <c r="MM5" s="191"/>
      <c r="MN5" s="191"/>
      <c r="MO5" s="191"/>
      <c r="MP5" s="191"/>
      <c r="MQ5" s="191"/>
      <c r="MR5" s="191"/>
      <c r="MS5" s="191"/>
      <c r="MT5" s="191"/>
      <c r="MU5" s="191"/>
      <c r="MV5" s="191"/>
      <c r="MW5" s="191"/>
      <c r="MX5" s="191"/>
      <c r="MY5" s="191"/>
      <c r="MZ5" s="191"/>
      <c r="NA5" s="191"/>
      <c r="NB5" s="191"/>
      <c r="NC5" s="191"/>
      <c r="ND5" s="191"/>
      <c r="NE5" s="191"/>
      <c r="NF5" s="191"/>
      <c r="NG5" s="191"/>
      <c r="NH5" s="191"/>
      <c r="NI5" s="191"/>
      <c r="NJ5" s="191"/>
      <c r="NK5" s="191"/>
      <c r="NL5" s="191"/>
      <c r="NM5" s="191"/>
      <c r="NN5" s="191"/>
      <c r="NO5" s="191"/>
      <c r="NP5" s="191"/>
      <c r="NQ5" s="191"/>
      <c r="NR5" s="191"/>
      <c r="NS5" s="191"/>
      <c r="NT5" s="191"/>
      <c r="NU5" s="191"/>
      <c r="NV5" s="191"/>
      <c r="NW5" s="191"/>
      <c r="NX5" s="191"/>
      <c r="NY5" s="191"/>
      <c r="NZ5" s="191"/>
      <c r="OA5" s="191"/>
      <c r="OB5" s="191"/>
      <c r="OC5" s="191"/>
      <c r="OD5" s="191"/>
      <c r="OE5" s="191"/>
      <c r="OF5" s="191"/>
      <c r="OG5" s="191"/>
      <c r="OH5" s="191"/>
      <c r="OI5" s="191"/>
      <c r="OJ5" s="191"/>
      <c r="OK5" s="191"/>
      <c r="OL5" s="191"/>
      <c r="OM5" s="191"/>
      <c r="ON5" s="191"/>
      <c r="OO5" s="191"/>
      <c r="OP5" s="191"/>
      <c r="OQ5" s="191"/>
      <c r="OR5" s="191"/>
      <c r="OS5" s="191"/>
      <c r="OT5" s="191"/>
      <c r="OU5" s="191"/>
      <c r="OV5" s="191"/>
      <c r="OW5" s="191"/>
      <c r="OX5" s="191"/>
      <c r="OY5" s="191"/>
      <c r="OZ5" s="191"/>
      <c r="PA5" s="191"/>
      <c r="PB5" s="191"/>
      <c r="PC5" s="191"/>
      <c r="PD5" s="191"/>
      <c r="PE5" s="191"/>
      <c r="PF5" s="191"/>
      <c r="PG5" s="191"/>
      <c r="PH5" s="191"/>
      <c r="PI5" s="191"/>
      <c r="PJ5" s="191"/>
      <c r="PK5" s="191"/>
      <c r="PL5" s="191"/>
      <c r="PM5" s="191"/>
      <c r="PN5" s="191"/>
      <c r="PO5" s="191"/>
      <c r="PP5" s="191"/>
      <c r="PQ5" s="191"/>
      <c r="PR5" s="191"/>
      <c r="PS5" s="191"/>
      <c r="PT5" s="191"/>
      <c r="PU5" s="191"/>
      <c r="PV5" s="191"/>
      <c r="PW5" s="191"/>
      <c r="PX5" s="191"/>
      <c r="PY5" s="191"/>
      <c r="PZ5" s="191"/>
      <c r="QA5" s="191"/>
      <c r="QB5" s="191"/>
      <c r="QC5" s="191"/>
      <c r="QD5" s="191"/>
      <c r="QE5" s="191"/>
      <c r="QF5" s="191"/>
      <c r="QG5" s="191"/>
      <c r="QH5" s="191"/>
      <c r="QI5" s="191"/>
      <c r="QJ5" s="191"/>
      <c r="QK5" s="191"/>
      <c r="QL5" s="191"/>
      <c r="QM5" s="191"/>
      <c r="QN5" s="191"/>
      <c r="QO5" s="191"/>
      <c r="QP5" s="191"/>
      <c r="QQ5" s="191"/>
      <c r="QR5" s="191"/>
      <c r="QS5" s="191"/>
      <c r="QT5" s="191"/>
      <c r="QU5" s="191"/>
      <c r="QV5" s="191"/>
      <c r="QW5" s="191"/>
      <c r="QX5" s="191"/>
      <c r="QY5" s="191"/>
      <c r="QZ5" s="191"/>
      <c r="RA5" s="191"/>
      <c r="RB5" s="191"/>
      <c r="RC5" s="191"/>
      <c r="RD5" s="191"/>
      <c r="RE5" s="191"/>
      <c r="RF5" s="191"/>
      <c r="RG5" s="191"/>
      <c r="RH5" s="191"/>
      <c r="RI5" s="191"/>
      <c r="RJ5" s="191"/>
      <c r="RK5" s="191"/>
      <c r="RL5" s="191"/>
      <c r="RM5" s="191"/>
      <c r="RN5" s="191"/>
      <c r="RO5" s="191"/>
      <c r="RP5" s="191"/>
      <c r="RQ5" s="191"/>
      <c r="RR5" s="191"/>
      <c r="RS5" s="191"/>
      <c r="RT5" s="191"/>
      <c r="RU5" s="191"/>
      <c r="RV5" s="191"/>
      <c r="RW5" s="191"/>
      <c r="RX5" s="191"/>
      <c r="RY5" s="191"/>
      <c r="RZ5" s="191"/>
      <c r="SA5" s="191"/>
      <c r="SB5" s="191"/>
      <c r="SC5" s="191"/>
      <c r="SD5" s="191"/>
      <c r="SE5" s="191"/>
      <c r="SF5" s="191"/>
      <c r="SG5" s="191"/>
      <c r="SH5" s="191"/>
      <c r="SI5" s="191"/>
      <c r="SJ5" s="191"/>
      <c r="SK5" s="191"/>
      <c r="SL5" s="191"/>
      <c r="SM5" s="191"/>
      <c r="SN5" s="191"/>
      <c r="SO5" s="191"/>
      <c r="SP5" s="191"/>
      <c r="SQ5" s="191"/>
      <c r="SR5" s="191"/>
      <c r="SS5" s="191"/>
      <c r="ST5" s="191"/>
      <c r="SU5" s="191"/>
      <c r="SV5" s="191"/>
      <c r="SW5" s="191"/>
      <c r="SX5" s="191"/>
      <c r="SY5" s="191"/>
      <c r="SZ5" s="191"/>
      <c r="TA5" s="191"/>
      <c r="TB5" s="191"/>
      <c r="TC5" s="191"/>
      <c r="TD5" s="191"/>
      <c r="TE5" s="191"/>
      <c r="TF5" s="191"/>
      <c r="TG5" s="191"/>
      <c r="TH5" s="191"/>
      <c r="TI5" s="191"/>
      <c r="TJ5" s="191"/>
      <c r="TK5" s="191"/>
      <c r="TL5" s="191"/>
      <c r="TM5" s="191"/>
      <c r="TN5" s="191"/>
      <c r="TO5" s="191"/>
      <c r="TP5" s="191"/>
      <c r="TQ5" s="191"/>
      <c r="TR5" s="191"/>
      <c r="TS5" s="191"/>
      <c r="TT5" s="191"/>
      <c r="TU5" s="191"/>
      <c r="TV5" s="191"/>
      <c r="TW5" s="191"/>
      <c r="TX5" s="191"/>
      <c r="TY5" s="191"/>
      <c r="TZ5" s="191"/>
      <c r="UA5" s="191"/>
      <c r="UB5" s="191"/>
      <c r="UC5" s="191"/>
      <c r="UD5" s="191"/>
      <c r="UE5" s="191"/>
      <c r="UF5" s="191"/>
      <c r="UG5" s="191"/>
      <c r="UH5" s="191"/>
      <c r="UI5" s="191"/>
      <c r="UJ5" s="191"/>
      <c r="UK5" s="191"/>
      <c r="UL5" s="191"/>
      <c r="UM5" s="191"/>
      <c r="UN5" s="191"/>
      <c r="UO5" s="191"/>
      <c r="UP5" s="191"/>
      <c r="UQ5" s="191"/>
      <c r="UR5" s="191"/>
      <c r="US5" s="191"/>
      <c r="UT5" s="191"/>
      <c r="UU5" s="191"/>
      <c r="UV5" s="191"/>
      <c r="UW5" s="191"/>
      <c r="UX5" s="191"/>
      <c r="UY5" s="191"/>
      <c r="UZ5" s="191"/>
      <c r="VA5" s="191"/>
      <c r="VB5" s="191"/>
      <c r="VC5" s="191"/>
      <c r="VD5" s="191"/>
      <c r="VE5" s="191"/>
      <c r="VF5" s="191"/>
      <c r="VG5" s="191"/>
      <c r="VH5" s="191"/>
      <c r="VI5" s="191"/>
      <c r="VJ5" s="191"/>
      <c r="VK5" s="191"/>
      <c r="VL5" s="191"/>
      <c r="VM5" s="191"/>
      <c r="VN5" s="191"/>
      <c r="VO5" s="191"/>
      <c r="VP5" s="191"/>
      <c r="VQ5" s="191"/>
      <c r="VR5" s="191"/>
      <c r="VS5" s="191"/>
      <c r="VT5" s="191"/>
      <c r="VU5" s="191"/>
    </row>
    <row r="6" spans="1:593" s="117" customFormat="1" ht="14.25" customHeight="1" x14ac:dyDescent="0.15">
      <c r="A6" s="232"/>
      <c r="B6" s="186" t="s">
        <v>441</v>
      </c>
      <c r="C6" s="187" t="s">
        <v>431</v>
      </c>
      <c r="D6" s="188">
        <v>5</v>
      </c>
      <c r="E6" s="188">
        <v>7</v>
      </c>
      <c r="F6" s="188">
        <v>6.5</v>
      </c>
      <c r="G6" s="188">
        <v>7</v>
      </c>
      <c r="H6" s="188">
        <v>7</v>
      </c>
      <c r="I6" s="188">
        <v>8</v>
      </c>
      <c r="J6" s="188">
        <v>8</v>
      </c>
      <c r="K6" s="188">
        <v>6</v>
      </c>
      <c r="L6" s="188">
        <v>8</v>
      </c>
      <c r="M6" s="188">
        <v>6</v>
      </c>
      <c r="N6" s="188">
        <v>8</v>
      </c>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c r="DC6" s="188"/>
      <c r="DD6" s="188"/>
      <c r="DE6" s="188"/>
      <c r="DF6" s="188"/>
      <c r="DG6" s="188"/>
      <c r="DH6" s="188"/>
      <c r="DI6" s="188"/>
      <c r="DJ6" s="188"/>
      <c r="DK6" s="188"/>
      <c r="DL6" s="188"/>
      <c r="DM6" s="188"/>
      <c r="DN6" s="188"/>
      <c r="DO6" s="188"/>
      <c r="DP6" s="188"/>
      <c r="DQ6" s="188"/>
      <c r="DR6" s="188"/>
      <c r="DS6" s="188"/>
      <c r="DT6" s="188"/>
      <c r="DU6" s="188"/>
      <c r="DV6" s="188"/>
      <c r="DW6" s="188"/>
      <c r="DX6" s="188"/>
      <c r="DY6" s="188"/>
      <c r="DZ6" s="188"/>
      <c r="EA6" s="188"/>
      <c r="EB6" s="188"/>
      <c r="EC6" s="188"/>
      <c r="ED6" s="188"/>
      <c r="EE6" s="188"/>
      <c r="EF6" s="188"/>
      <c r="EG6" s="188"/>
      <c r="EH6" s="188"/>
      <c r="EI6" s="188"/>
      <c r="EJ6" s="188"/>
      <c r="EK6" s="188"/>
      <c r="EL6" s="188"/>
      <c r="EM6" s="188"/>
      <c r="EN6" s="188"/>
      <c r="EO6" s="188"/>
      <c r="EP6" s="188"/>
      <c r="EQ6" s="188"/>
      <c r="ER6" s="188"/>
      <c r="ES6" s="188"/>
      <c r="ET6" s="188"/>
      <c r="EU6" s="188"/>
      <c r="EV6" s="188"/>
      <c r="EW6" s="188"/>
      <c r="EX6" s="188"/>
      <c r="EY6" s="188"/>
      <c r="EZ6" s="188"/>
      <c r="FA6" s="188"/>
      <c r="FB6" s="188"/>
      <c r="FC6" s="188"/>
      <c r="FD6" s="188"/>
      <c r="FE6" s="188"/>
      <c r="FF6" s="188"/>
      <c r="FG6" s="188"/>
      <c r="FH6" s="188"/>
      <c r="FI6" s="188"/>
      <c r="FJ6" s="188"/>
      <c r="FK6" s="188"/>
      <c r="FL6" s="188"/>
      <c r="FM6" s="188"/>
      <c r="FN6" s="188"/>
      <c r="FO6" s="188"/>
      <c r="FP6" s="188"/>
      <c r="FQ6" s="188"/>
      <c r="FR6" s="188"/>
      <c r="FS6" s="188"/>
      <c r="FT6" s="188"/>
      <c r="FU6" s="188"/>
      <c r="FV6" s="188"/>
      <c r="FW6" s="188"/>
      <c r="FX6" s="188"/>
      <c r="FY6" s="188"/>
      <c r="FZ6" s="188"/>
      <c r="GA6" s="188"/>
      <c r="GB6" s="188"/>
      <c r="GC6" s="188"/>
      <c r="GD6" s="188"/>
      <c r="GE6" s="188"/>
      <c r="GF6" s="188"/>
      <c r="GG6" s="188"/>
      <c r="GH6" s="188"/>
      <c r="GI6" s="188"/>
      <c r="GJ6" s="188"/>
      <c r="GK6" s="188"/>
      <c r="GL6" s="188"/>
      <c r="GM6" s="188"/>
      <c r="GN6" s="188"/>
      <c r="GO6" s="188"/>
      <c r="GP6" s="188"/>
      <c r="GQ6" s="188"/>
      <c r="GR6" s="188"/>
      <c r="GS6" s="188"/>
      <c r="GT6" s="188"/>
      <c r="GU6" s="188"/>
      <c r="GV6" s="188"/>
      <c r="GW6" s="188"/>
      <c r="GX6" s="188"/>
      <c r="GY6" s="188"/>
      <c r="GZ6" s="188"/>
      <c r="HA6" s="188"/>
      <c r="HB6" s="188"/>
      <c r="HC6" s="188"/>
      <c r="HD6" s="188"/>
      <c r="HE6" s="188"/>
      <c r="HF6" s="188"/>
      <c r="HG6" s="188"/>
      <c r="HH6" s="188"/>
      <c r="HI6" s="188"/>
      <c r="HJ6" s="188"/>
      <c r="HK6" s="188"/>
      <c r="HL6" s="188"/>
      <c r="HM6" s="188"/>
      <c r="HN6" s="188"/>
      <c r="HO6" s="188"/>
      <c r="HP6" s="188"/>
      <c r="HQ6" s="188"/>
      <c r="HR6" s="188"/>
      <c r="HS6" s="188"/>
      <c r="HT6" s="188"/>
      <c r="HU6" s="188"/>
      <c r="HV6" s="188"/>
      <c r="HW6" s="188"/>
      <c r="HX6" s="188"/>
      <c r="HY6" s="188"/>
      <c r="HZ6" s="188"/>
      <c r="IA6" s="188"/>
      <c r="IB6" s="188"/>
      <c r="IC6" s="188"/>
      <c r="ID6" s="188"/>
      <c r="IE6" s="188"/>
      <c r="IF6" s="188"/>
      <c r="IG6" s="188"/>
      <c r="IH6" s="188"/>
      <c r="II6" s="188"/>
      <c r="IJ6" s="188"/>
      <c r="IK6" s="188"/>
      <c r="IL6" s="188"/>
      <c r="IM6" s="188"/>
      <c r="IN6" s="188"/>
      <c r="IO6" s="188"/>
      <c r="IP6" s="188"/>
      <c r="IQ6" s="188"/>
      <c r="IR6" s="188"/>
      <c r="IS6" s="188"/>
      <c r="IT6" s="188"/>
      <c r="IU6" s="188"/>
      <c r="IV6" s="188"/>
      <c r="IW6" s="188"/>
      <c r="IX6" s="188"/>
      <c r="IY6" s="188"/>
      <c r="IZ6" s="188"/>
      <c r="JA6" s="188"/>
      <c r="JB6" s="188"/>
      <c r="JC6" s="188"/>
      <c r="JD6" s="188"/>
      <c r="JE6" s="188"/>
      <c r="JF6" s="188"/>
      <c r="JG6" s="188"/>
      <c r="JH6" s="188"/>
      <c r="JI6" s="188"/>
      <c r="JJ6" s="188"/>
      <c r="JK6" s="188"/>
      <c r="JL6" s="188"/>
      <c r="JM6" s="188"/>
      <c r="JN6" s="188"/>
      <c r="JO6" s="188"/>
      <c r="JP6" s="188"/>
      <c r="JQ6" s="188"/>
      <c r="JR6" s="188"/>
      <c r="JS6" s="188"/>
      <c r="JT6" s="188"/>
      <c r="JU6" s="188"/>
      <c r="JV6" s="188"/>
      <c r="JW6" s="188"/>
      <c r="JX6" s="188"/>
      <c r="JY6" s="188"/>
      <c r="JZ6" s="188"/>
      <c r="KA6" s="188"/>
      <c r="KB6" s="188"/>
      <c r="KC6" s="188"/>
      <c r="KD6" s="188"/>
      <c r="KE6" s="188"/>
      <c r="KF6" s="188"/>
      <c r="KG6" s="188"/>
      <c r="KH6" s="188"/>
      <c r="KI6" s="188"/>
      <c r="KJ6" s="188"/>
      <c r="KK6" s="188"/>
      <c r="KL6" s="188"/>
      <c r="KM6" s="188"/>
      <c r="KN6" s="188"/>
      <c r="KO6" s="188"/>
      <c r="KP6" s="188"/>
      <c r="KQ6" s="188"/>
      <c r="KR6" s="188"/>
      <c r="KS6" s="188"/>
      <c r="KT6" s="188"/>
      <c r="KU6" s="188"/>
      <c r="KV6" s="188"/>
      <c r="KW6" s="188"/>
      <c r="KX6" s="188"/>
      <c r="KY6" s="188"/>
      <c r="KZ6" s="188"/>
      <c r="LA6" s="188"/>
      <c r="LB6" s="188"/>
      <c r="LC6" s="188"/>
      <c r="LD6" s="188"/>
      <c r="LE6" s="188"/>
      <c r="LF6" s="188"/>
      <c r="LG6" s="188"/>
      <c r="LH6" s="188"/>
      <c r="LI6" s="188"/>
      <c r="LJ6" s="188"/>
      <c r="LK6" s="188"/>
      <c r="LL6" s="188"/>
      <c r="LM6" s="188"/>
      <c r="LN6" s="188"/>
      <c r="LO6" s="188"/>
      <c r="LP6" s="188"/>
      <c r="LQ6" s="188"/>
      <c r="LR6" s="188"/>
      <c r="LS6" s="188"/>
      <c r="LT6" s="188"/>
      <c r="LU6" s="188"/>
      <c r="LV6" s="188"/>
      <c r="LW6" s="188"/>
      <c r="LX6" s="188"/>
      <c r="LY6" s="188"/>
      <c r="LZ6" s="188"/>
      <c r="MA6" s="188"/>
      <c r="MB6" s="188"/>
      <c r="MC6" s="188"/>
      <c r="MD6" s="188"/>
      <c r="ME6" s="188"/>
      <c r="MF6" s="188"/>
      <c r="MG6" s="188"/>
      <c r="MH6" s="188"/>
      <c r="MI6" s="188"/>
      <c r="MJ6" s="188"/>
      <c r="MK6" s="188"/>
      <c r="ML6" s="188"/>
      <c r="MM6" s="188"/>
      <c r="MN6" s="188"/>
      <c r="MO6" s="188"/>
      <c r="MP6" s="188"/>
      <c r="MQ6" s="188"/>
      <c r="MR6" s="188"/>
      <c r="MS6" s="188"/>
      <c r="MT6" s="188"/>
      <c r="MU6" s="188"/>
      <c r="MV6" s="188"/>
      <c r="MW6" s="188"/>
      <c r="MX6" s="188"/>
      <c r="MY6" s="188"/>
      <c r="MZ6" s="188"/>
      <c r="NA6" s="188"/>
      <c r="NB6" s="188"/>
      <c r="NC6" s="188"/>
      <c r="ND6" s="188"/>
      <c r="NE6" s="188"/>
      <c r="NF6" s="188"/>
      <c r="NG6" s="188"/>
      <c r="NH6" s="188"/>
      <c r="NI6" s="188"/>
      <c r="NJ6" s="188"/>
      <c r="NK6" s="188"/>
      <c r="NL6" s="188"/>
      <c r="NM6" s="188"/>
      <c r="NN6" s="188"/>
      <c r="NO6" s="188"/>
      <c r="NP6" s="188"/>
      <c r="NQ6" s="188"/>
      <c r="NR6" s="188"/>
      <c r="NS6" s="188"/>
      <c r="NT6" s="188"/>
      <c r="NU6" s="188"/>
      <c r="NV6" s="188"/>
      <c r="NW6" s="188"/>
      <c r="NX6" s="188"/>
      <c r="NY6" s="188"/>
      <c r="NZ6" s="188"/>
      <c r="OA6" s="188"/>
      <c r="OB6" s="188"/>
      <c r="OC6" s="188"/>
      <c r="OD6" s="188"/>
      <c r="OE6" s="188"/>
      <c r="OF6" s="188"/>
      <c r="OG6" s="188"/>
      <c r="OH6" s="188"/>
      <c r="OI6" s="188"/>
      <c r="OJ6" s="188"/>
      <c r="OK6" s="188"/>
      <c r="OL6" s="188"/>
      <c r="OM6" s="188"/>
      <c r="ON6" s="188"/>
      <c r="OO6" s="188"/>
      <c r="OP6" s="188"/>
      <c r="OQ6" s="188"/>
      <c r="OR6" s="188"/>
      <c r="OS6" s="188"/>
      <c r="OT6" s="188"/>
      <c r="OU6" s="188"/>
      <c r="OV6" s="188"/>
      <c r="OW6" s="188"/>
      <c r="OX6" s="188"/>
      <c r="OY6" s="188"/>
      <c r="OZ6" s="188"/>
      <c r="PA6" s="188"/>
      <c r="PB6" s="188"/>
      <c r="PC6" s="188"/>
      <c r="PD6" s="188"/>
      <c r="PE6" s="188"/>
      <c r="PF6" s="188"/>
      <c r="PG6" s="188"/>
      <c r="PH6" s="188"/>
      <c r="PI6" s="188"/>
      <c r="PJ6" s="188"/>
      <c r="PK6" s="188"/>
      <c r="PL6" s="188"/>
      <c r="PM6" s="188"/>
      <c r="PN6" s="188"/>
      <c r="PO6" s="188"/>
      <c r="PP6" s="188"/>
      <c r="PQ6" s="188"/>
      <c r="PR6" s="188"/>
      <c r="PS6" s="188"/>
      <c r="PT6" s="188"/>
      <c r="PU6" s="188"/>
      <c r="PV6" s="188"/>
      <c r="PW6" s="188"/>
      <c r="PX6" s="188"/>
      <c r="PY6" s="188"/>
      <c r="PZ6" s="188"/>
      <c r="QA6" s="188"/>
      <c r="QB6" s="188"/>
      <c r="QC6" s="188"/>
      <c r="QD6" s="188"/>
      <c r="QE6" s="188"/>
      <c r="QF6" s="188"/>
      <c r="QG6" s="188"/>
      <c r="QH6" s="188"/>
      <c r="QI6" s="188"/>
      <c r="QJ6" s="188"/>
      <c r="QK6" s="188"/>
      <c r="QL6" s="188"/>
      <c r="QM6" s="188"/>
      <c r="QN6" s="188"/>
      <c r="QO6" s="188"/>
      <c r="QP6" s="188"/>
      <c r="QQ6" s="188"/>
      <c r="QR6" s="188"/>
      <c r="QS6" s="188"/>
      <c r="QT6" s="188"/>
      <c r="QU6" s="188"/>
      <c r="QV6" s="188"/>
      <c r="QW6" s="188"/>
      <c r="QX6" s="188"/>
      <c r="QY6" s="188"/>
      <c r="QZ6" s="188"/>
      <c r="RA6" s="188"/>
      <c r="RB6" s="188"/>
      <c r="RC6" s="188"/>
      <c r="RD6" s="188"/>
      <c r="RE6" s="188"/>
      <c r="RF6" s="188"/>
      <c r="RG6" s="188"/>
      <c r="RH6" s="188"/>
      <c r="RI6" s="188"/>
      <c r="RJ6" s="188"/>
      <c r="RK6" s="188"/>
      <c r="RL6" s="188"/>
      <c r="RM6" s="188"/>
      <c r="RN6" s="188"/>
      <c r="RO6" s="188"/>
      <c r="RP6" s="188"/>
      <c r="RQ6" s="188"/>
      <c r="RR6" s="188"/>
      <c r="RS6" s="188"/>
      <c r="RT6" s="188"/>
      <c r="RU6" s="188"/>
      <c r="RV6" s="188"/>
      <c r="RW6" s="188"/>
      <c r="RX6" s="188"/>
      <c r="RY6" s="188"/>
      <c r="RZ6" s="188"/>
      <c r="SA6" s="188"/>
      <c r="SB6" s="188"/>
      <c r="SC6" s="188"/>
      <c r="SD6" s="188"/>
      <c r="SE6" s="188"/>
      <c r="SF6" s="188"/>
      <c r="SG6" s="188"/>
      <c r="SH6" s="188"/>
      <c r="SI6" s="188"/>
      <c r="SJ6" s="188"/>
      <c r="SK6" s="188"/>
      <c r="SL6" s="188"/>
      <c r="SM6" s="188"/>
      <c r="SN6" s="188"/>
      <c r="SO6" s="188"/>
      <c r="SP6" s="188"/>
      <c r="SQ6" s="188"/>
      <c r="SR6" s="188"/>
      <c r="SS6" s="188"/>
      <c r="ST6" s="188"/>
      <c r="SU6" s="188"/>
      <c r="SV6" s="188"/>
      <c r="SW6" s="188"/>
      <c r="SX6" s="188"/>
      <c r="SY6" s="188"/>
      <c r="SZ6" s="188"/>
      <c r="TA6" s="188"/>
      <c r="TB6" s="188"/>
      <c r="TC6" s="188"/>
      <c r="TD6" s="188"/>
      <c r="TE6" s="188"/>
      <c r="TF6" s="188"/>
      <c r="TG6" s="188"/>
      <c r="TH6" s="188"/>
      <c r="TI6" s="188"/>
      <c r="TJ6" s="188"/>
      <c r="TK6" s="188"/>
      <c r="TL6" s="188"/>
      <c r="TM6" s="188"/>
      <c r="TN6" s="188"/>
      <c r="TO6" s="188"/>
      <c r="TP6" s="188"/>
      <c r="TQ6" s="188"/>
      <c r="TR6" s="188"/>
      <c r="TS6" s="188"/>
      <c r="TT6" s="188"/>
      <c r="TU6" s="188"/>
      <c r="TV6" s="188"/>
      <c r="TW6" s="188"/>
      <c r="TX6" s="188"/>
      <c r="TY6" s="188"/>
      <c r="TZ6" s="188"/>
      <c r="UA6" s="188"/>
      <c r="UB6" s="188"/>
      <c r="UC6" s="188"/>
      <c r="UD6" s="188"/>
      <c r="UE6" s="188"/>
      <c r="UF6" s="188"/>
      <c r="UG6" s="188"/>
      <c r="UH6" s="188"/>
      <c r="UI6" s="188"/>
      <c r="UJ6" s="188"/>
      <c r="UK6" s="188"/>
      <c r="UL6" s="188"/>
      <c r="UM6" s="188"/>
      <c r="UN6" s="188"/>
      <c r="UO6" s="188"/>
      <c r="UP6" s="188"/>
      <c r="UQ6" s="188"/>
      <c r="UR6" s="188"/>
      <c r="US6" s="188"/>
      <c r="UT6" s="188"/>
      <c r="UU6" s="188"/>
      <c r="UV6" s="188"/>
      <c r="UW6" s="188"/>
      <c r="UX6" s="188"/>
      <c r="UY6" s="188"/>
      <c r="UZ6" s="188"/>
      <c r="VA6" s="188"/>
      <c r="VB6" s="188"/>
      <c r="VC6" s="188"/>
      <c r="VD6" s="188"/>
      <c r="VE6" s="188"/>
      <c r="VF6" s="188"/>
      <c r="VG6" s="188"/>
      <c r="VH6" s="188"/>
      <c r="VI6" s="188"/>
      <c r="VJ6" s="188"/>
      <c r="VK6" s="188"/>
      <c r="VL6" s="188"/>
      <c r="VM6" s="188"/>
      <c r="VN6" s="188"/>
      <c r="VO6" s="188"/>
      <c r="VP6" s="188"/>
      <c r="VQ6" s="188"/>
      <c r="VR6" s="188"/>
      <c r="VS6" s="188"/>
      <c r="VT6" s="188"/>
      <c r="VU6" s="188"/>
    </row>
    <row r="7" spans="1:593" s="118" customFormat="1" ht="28.5" customHeight="1" x14ac:dyDescent="0.15">
      <c r="A7" s="232"/>
      <c r="B7" s="192" t="s">
        <v>289</v>
      </c>
      <c r="C7" s="193" t="s">
        <v>324</v>
      </c>
      <c r="D7" s="194" t="s">
        <v>454</v>
      </c>
      <c r="E7" s="194" t="s">
        <v>454</v>
      </c>
      <c r="F7" s="194" t="s">
        <v>454</v>
      </c>
      <c r="G7" s="194" t="s">
        <v>454</v>
      </c>
      <c r="H7" s="194" t="s">
        <v>454</v>
      </c>
      <c r="I7" s="194" t="s">
        <v>464</v>
      </c>
      <c r="J7" s="194" t="s">
        <v>454</v>
      </c>
      <c r="K7" s="194" t="s">
        <v>454</v>
      </c>
      <c r="L7" s="194" t="s">
        <v>454</v>
      </c>
      <c r="M7" s="194" t="s">
        <v>454</v>
      </c>
      <c r="N7" s="194" t="s">
        <v>454</v>
      </c>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c r="PU7" s="194"/>
      <c r="PV7" s="194"/>
      <c r="PW7" s="194"/>
      <c r="PX7" s="194"/>
      <c r="PY7" s="194"/>
      <c r="PZ7" s="194"/>
      <c r="QA7" s="194"/>
      <c r="QB7" s="194"/>
      <c r="QC7" s="194"/>
      <c r="QD7" s="194"/>
      <c r="QE7" s="194"/>
      <c r="QF7" s="194"/>
      <c r="QG7" s="194"/>
      <c r="QH7" s="194"/>
      <c r="QI7" s="194"/>
      <c r="QJ7" s="194"/>
      <c r="QK7" s="194"/>
      <c r="QL7" s="194"/>
      <c r="QM7" s="194"/>
      <c r="QN7" s="194"/>
      <c r="QO7" s="194"/>
      <c r="QP7" s="194"/>
      <c r="QQ7" s="194"/>
      <c r="QR7" s="194"/>
      <c r="QS7" s="194"/>
      <c r="QT7" s="194"/>
      <c r="QU7" s="194"/>
      <c r="QV7" s="194"/>
      <c r="QW7" s="194"/>
      <c r="QX7" s="194"/>
      <c r="QY7" s="194"/>
      <c r="QZ7" s="194"/>
      <c r="RA7" s="194"/>
      <c r="RB7" s="194"/>
      <c r="RC7" s="194"/>
      <c r="RD7" s="194"/>
      <c r="RE7" s="194"/>
      <c r="RF7" s="194"/>
      <c r="RG7" s="194"/>
      <c r="RH7" s="194"/>
      <c r="RI7" s="194"/>
      <c r="RJ7" s="194"/>
      <c r="RK7" s="194"/>
      <c r="RL7" s="194"/>
      <c r="RM7" s="194"/>
      <c r="RN7" s="194"/>
      <c r="RO7" s="194"/>
      <c r="RP7" s="194"/>
      <c r="RQ7" s="194"/>
      <c r="RR7" s="194"/>
      <c r="RS7" s="194"/>
      <c r="RT7" s="194"/>
      <c r="RU7" s="194"/>
      <c r="RV7" s="194"/>
      <c r="RW7" s="194"/>
      <c r="RX7" s="194"/>
      <c r="RY7" s="194"/>
      <c r="RZ7" s="194"/>
      <c r="SA7" s="194"/>
      <c r="SB7" s="194"/>
      <c r="SC7" s="194"/>
      <c r="SD7" s="194"/>
      <c r="SE7" s="194"/>
      <c r="SF7" s="194"/>
      <c r="SG7" s="194"/>
      <c r="SH7" s="194"/>
      <c r="SI7" s="194"/>
      <c r="SJ7" s="194"/>
      <c r="SK7" s="194"/>
      <c r="SL7" s="194"/>
      <c r="SM7" s="194"/>
      <c r="SN7" s="194"/>
      <c r="SO7" s="194"/>
      <c r="SP7" s="194"/>
      <c r="SQ7" s="194"/>
      <c r="SR7" s="194"/>
      <c r="SS7" s="194"/>
      <c r="ST7" s="194"/>
      <c r="SU7" s="194"/>
      <c r="SV7" s="194"/>
      <c r="SW7" s="194"/>
      <c r="SX7" s="194"/>
      <c r="SY7" s="194"/>
      <c r="SZ7" s="194"/>
      <c r="TA7" s="194"/>
      <c r="TB7" s="194"/>
      <c r="TC7" s="194"/>
      <c r="TD7" s="194"/>
      <c r="TE7" s="194"/>
      <c r="TF7" s="194"/>
      <c r="TG7" s="194"/>
      <c r="TH7" s="194"/>
      <c r="TI7" s="194"/>
      <c r="TJ7" s="194"/>
      <c r="TK7" s="194"/>
      <c r="TL7" s="194"/>
      <c r="TM7" s="194"/>
      <c r="TN7" s="194"/>
      <c r="TO7" s="194"/>
      <c r="TP7" s="194"/>
      <c r="TQ7" s="194"/>
      <c r="TR7" s="194"/>
      <c r="TS7" s="194"/>
      <c r="TT7" s="194"/>
      <c r="TU7" s="194"/>
      <c r="TV7" s="194"/>
      <c r="TW7" s="194"/>
      <c r="TX7" s="194"/>
      <c r="TY7" s="194"/>
      <c r="TZ7" s="194"/>
      <c r="UA7" s="194"/>
      <c r="UB7" s="194"/>
      <c r="UC7" s="194"/>
      <c r="UD7" s="194"/>
      <c r="UE7" s="194"/>
      <c r="UF7" s="194"/>
      <c r="UG7" s="194"/>
      <c r="UH7" s="194"/>
      <c r="UI7" s="194"/>
      <c r="UJ7" s="194"/>
      <c r="UK7" s="194"/>
      <c r="UL7" s="194"/>
      <c r="UM7" s="194"/>
      <c r="UN7" s="194"/>
      <c r="UO7" s="194"/>
      <c r="UP7" s="194"/>
      <c r="UQ7" s="194"/>
      <c r="UR7" s="194"/>
      <c r="US7" s="194"/>
      <c r="UT7" s="194"/>
      <c r="UU7" s="194"/>
      <c r="UV7" s="194"/>
      <c r="UW7" s="194"/>
      <c r="UX7" s="194"/>
      <c r="UY7" s="194"/>
      <c r="UZ7" s="194"/>
      <c r="VA7" s="194"/>
      <c r="VB7" s="194"/>
      <c r="VC7" s="194"/>
      <c r="VD7" s="194"/>
      <c r="VE7" s="194"/>
      <c r="VF7" s="194"/>
      <c r="VG7" s="194"/>
      <c r="VH7" s="194"/>
      <c r="VI7" s="194"/>
      <c r="VJ7" s="194"/>
      <c r="VK7" s="194"/>
      <c r="VL7" s="194"/>
      <c r="VM7" s="194"/>
      <c r="VN7" s="194"/>
      <c r="VO7" s="194"/>
      <c r="VP7" s="194"/>
      <c r="VQ7" s="194"/>
      <c r="VR7" s="194"/>
      <c r="VS7" s="194"/>
      <c r="VT7" s="194"/>
      <c r="VU7" s="194"/>
    </row>
    <row r="8" spans="1:593" s="118" customFormat="1" ht="29.25" customHeight="1" x14ac:dyDescent="0.15">
      <c r="A8" s="230" t="s">
        <v>405</v>
      </c>
      <c r="B8" s="195" t="s">
        <v>401</v>
      </c>
      <c r="C8" s="196" t="s">
        <v>442</v>
      </c>
      <c r="D8" s="197" t="s">
        <v>455</v>
      </c>
      <c r="E8" s="197" t="s">
        <v>455</v>
      </c>
      <c r="F8" s="197"/>
      <c r="G8" s="197"/>
      <c r="H8" s="197"/>
      <c r="I8" s="197"/>
      <c r="J8" s="197" t="s">
        <v>470</v>
      </c>
      <c r="K8" s="197" t="s">
        <v>450</v>
      </c>
      <c r="L8" s="197" t="s">
        <v>479</v>
      </c>
      <c r="M8" s="197" t="s">
        <v>479</v>
      </c>
      <c r="N8" s="197" t="s">
        <v>479</v>
      </c>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97"/>
      <c r="CI8" s="197"/>
      <c r="CJ8" s="197"/>
      <c r="CK8" s="197"/>
      <c r="CL8" s="197"/>
      <c r="CM8" s="197"/>
      <c r="CN8" s="197"/>
      <c r="CO8" s="197"/>
      <c r="CP8" s="197"/>
      <c r="CQ8" s="197"/>
      <c r="CR8" s="197"/>
      <c r="CS8" s="197"/>
      <c r="CT8" s="197"/>
      <c r="CU8" s="197"/>
      <c r="CV8" s="197"/>
      <c r="CW8" s="197"/>
      <c r="CX8" s="197"/>
      <c r="CY8" s="197"/>
      <c r="CZ8" s="197"/>
      <c r="DA8" s="197"/>
      <c r="DB8" s="197"/>
      <c r="DC8" s="197"/>
      <c r="DD8" s="197"/>
      <c r="DE8" s="197"/>
      <c r="DF8" s="197"/>
      <c r="DG8" s="197"/>
      <c r="DH8" s="197"/>
      <c r="DI8" s="197"/>
      <c r="DJ8" s="197"/>
      <c r="DK8" s="197"/>
      <c r="DL8" s="197"/>
      <c r="DM8" s="197"/>
      <c r="DN8" s="197"/>
      <c r="DO8" s="197"/>
      <c r="DP8" s="197"/>
      <c r="DQ8" s="197"/>
      <c r="DR8" s="197"/>
      <c r="DS8" s="197"/>
      <c r="DT8" s="197"/>
      <c r="DU8" s="197"/>
      <c r="DV8" s="197"/>
      <c r="DW8" s="197"/>
      <c r="DX8" s="197"/>
      <c r="DY8" s="197"/>
      <c r="DZ8" s="197"/>
      <c r="EA8" s="197"/>
      <c r="EB8" s="197"/>
      <c r="EC8" s="197"/>
      <c r="ED8" s="197"/>
      <c r="EE8" s="197"/>
      <c r="EF8" s="197"/>
      <c r="EG8" s="197"/>
      <c r="EH8" s="197"/>
      <c r="EI8" s="197"/>
      <c r="EJ8" s="197"/>
      <c r="EK8" s="197"/>
      <c r="EL8" s="197"/>
      <c r="EM8" s="197"/>
      <c r="EN8" s="197"/>
      <c r="EO8" s="197"/>
      <c r="EP8" s="197"/>
      <c r="EQ8" s="197"/>
      <c r="ER8" s="197"/>
      <c r="ES8" s="197"/>
      <c r="ET8" s="197"/>
      <c r="EU8" s="197"/>
      <c r="EV8" s="197"/>
      <c r="EW8" s="197"/>
      <c r="EX8" s="197"/>
      <c r="EY8" s="197"/>
      <c r="EZ8" s="197"/>
      <c r="FA8" s="197"/>
      <c r="FB8" s="197"/>
      <c r="FC8" s="197"/>
      <c r="FD8" s="197"/>
      <c r="FE8" s="197"/>
      <c r="FF8" s="197"/>
      <c r="FG8" s="197"/>
      <c r="FH8" s="197"/>
      <c r="FI8" s="197"/>
      <c r="FJ8" s="197"/>
      <c r="FK8" s="197"/>
      <c r="FL8" s="197"/>
      <c r="FM8" s="197"/>
      <c r="FN8" s="197"/>
      <c r="FO8" s="197"/>
      <c r="FP8" s="197"/>
      <c r="FQ8" s="197"/>
      <c r="FR8" s="197"/>
      <c r="FS8" s="197"/>
      <c r="FT8" s="197"/>
      <c r="FU8" s="197"/>
      <c r="FV8" s="197"/>
      <c r="FW8" s="197"/>
      <c r="FX8" s="197"/>
      <c r="FY8" s="197"/>
      <c r="FZ8" s="197"/>
      <c r="GA8" s="197"/>
      <c r="GB8" s="197"/>
      <c r="GC8" s="197"/>
      <c r="GD8" s="197"/>
      <c r="GE8" s="197"/>
      <c r="GF8" s="197"/>
      <c r="GG8" s="197"/>
      <c r="GH8" s="197"/>
      <c r="GI8" s="197"/>
      <c r="GJ8" s="197"/>
      <c r="GK8" s="197"/>
      <c r="GL8" s="197"/>
      <c r="GM8" s="197"/>
      <c r="GN8" s="197"/>
      <c r="GO8" s="197"/>
      <c r="GP8" s="197"/>
      <c r="GQ8" s="197"/>
      <c r="GR8" s="197"/>
      <c r="GS8" s="197"/>
      <c r="GT8" s="197"/>
      <c r="GU8" s="197"/>
      <c r="GV8" s="197"/>
      <c r="GW8" s="197"/>
      <c r="GX8" s="197"/>
      <c r="GY8" s="197"/>
      <c r="GZ8" s="197"/>
      <c r="HA8" s="197"/>
      <c r="HB8" s="197"/>
      <c r="HC8" s="197"/>
      <c r="HD8" s="197"/>
      <c r="HE8" s="197"/>
      <c r="HF8" s="197"/>
      <c r="HG8" s="197"/>
      <c r="HH8" s="197"/>
      <c r="HI8" s="197"/>
      <c r="HJ8" s="197"/>
      <c r="HK8" s="197"/>
      <c r="HL8" s="197"/>
      <c r="HM8" s="197"/>
      <c r="HN8" s="197"/>
      <c r="HO8" s="197"/>
      <c r="HP8" s="197"/>
      <c r="HQ8" s="197"/>
      <c r="HR8" s="197"/>
      <c r="HS8" s="197"/>
      <c r="HT8" s="197"/>
      <c r="HU8" s="197"/>
      <c r="HV8" s="197"/>
      <c r="HW8" s="197"/>
      <c r="HX8" s="197"/>
      <c r="HY8" s="197"/>
      <c r="HZ8" s="197"/>
      <c r="IA8" s="197"/>
      <c r="IB8" s="197"/>
      <c r="IC8" s="197"/>
      <c r="ID8" s="197"/>
      <c r="IE8" s="197"/>
      <c r="IF8" s="197"/>
      <c r="IG8" s="197"/>
      <c r="IH8" s="197"/>
      <c r="II8" s="197"/>
      <c r="IJ8" s="197"/>
      <c r="IK8" s="197"/>
      <c r="IL8" s="197"/>
      <c r="IM8" s="197"/>
      <c r="IN8" s="197"/>
      <c r="IO8" s="197"/>
      <c r="IP8" s="197"/>
      <c r="IQ8" s="197"/>
      <c r="IR8" s="197"/>
      <c r="IS8" s="197"/>
      <c r="IT8" s="197"/>
      <c r="IU8" s="197"/>
      <c r="IV8" s="197"/>
      <c r="IW8" s="197"/>
      <c r="IX8" s="197"/>
      <c r="IY8" s="197"/>
      <c r="IZ8" s="197"/>
      <c r="JA8" s="197"/>
      <c r="JB8" s="197"/>
      <c r="JC8" s="197"/>
      <c r="JD8" s="197"/>
      <c r="JE8" s="197"/>
      <c r="JF8" s="197"/>
      <c r="JG8" s="197"/>
      <c r="JH8" s="197"/>
      <c r="JI8" s="197"/>
      <c r="JJ8" s="197"/>
      <c r="JK8" s="197"/>
      <c r="JL8" s="197"/>
      <c r="JM8" s="197"/>
      <c r="JN8" s="197"/>
      <c r="JO8" s="197"/>
      <c r="JP8" s="197"/>
      <c r="JQ8" s="197"/>
      <c r="JR8" s="197"/>
      <c r="JS8" s="197"/>
      <c r="JT8" s="197"/>
      <c r="JU8" s="197"/>
      <c r="JV8" s="197"/>
      <c r="JW8" s="197"/>
      <c r="JX8" s="197"/>
      <c r="JY8" s="197"/>
      <c r="JZ8" s="197"/>
      <c r="KA8" s="197"/>
      <c r="KB8" s="197"/>
      <c r="KC8" s="197"/>
      <c r="KD8" s="197"/>
      <c r="KE8" s="197"/>
      <c r="KF8" s="197"/>
      <c r="KG8" s="197"/>
      <c r="KH8" s="197"/>
      <c r="KI8" s="197"/>
      <c r="KJ8" s="197"/>
      <c r="KK8" s="197"/>
      <c r="KL8" s="197"/>
      <c r="KM8" s="197"/>
      <c r="KN8" s="197"/>
      <c r="KO8" s="197"/>
      <c r="KP8" s="197"/>
      <c r="KQ8" s="197"/>
      <c r="KR8" s="197"/>
      <c r="KS8" s="197"/>
      <c r="KT8" s="197"/>
      <c r="KU8" s="197"/>
      <c r="KV8" s="197"/>
      <c r="KW8" s="197"/>
      <c r="KX8" s="197"/>
      <c r="KY8" s="197"/>
      <c r="KZ8" s="197"/>
      <c r="LA8" s="197"/>
      <c r="LB8" s="197"/>
      <c r="LC8" s="197"/>
      <c r="LD8" s="197"/>
      <c r="LE8" s="197"/>
      <c r="LF8" s="197"/>
      <c r="LG8" s="197"/>
      <c r="LH8" s="197"/>
      <c r="LI8" s="197"/>
      <c r="LJ8" s="197"/>
      <c r="LK8" s="197"/>
      <c r="LL8" s="197"/>
      <c r="LM8" s="197"/>
      <c r="LN8" s="197"/>
      <c r="LO8" s="197"/>
      <c r="LP8" s="197"/>
      <c r="LQ8" s="197"/>
      <c r="LR8" s="197"/>
      <c r="LS8" s="197"/>
      <c r="LT8" s="197"/>
      <c r="LU8" s="197"/>
      <c r="LV8" s="197"/>
      <c r="LW8" s="197"/>
      <c r="LX8" s="197"/>
      <c r="LY8" s="197"/>
      <c r="LZ8" s="197"/>
      <c r="MA8" s="197"/>
      <c r="MB8" s="197"/>
      <c r="MC8" s="197"/>
      <c r="MD8" s="197"/>
      <c r="ME8" s="197"/>
      <c r="MF8" s="197"/>
      <c r="MG8" s="197"/>
      <c r="MH8" s="197"/>
      <c r="MI8" s="197"/>
      <c r="MJ8" s="197"/>
      <c r="MK8" s="197"/>
      <c r="ML8" s="197"/>
      <c r="MM8" s="197"/>
      <c r="MN8" s="197"/>
      <c r="MO8" s="197"/>
      <c r="MP8" s="197"/>
      <c r="MQ8" s="197"/>
      <c r="MR8" s="197"/>
      <c r="MS8" s="197"/>
      <c r="MT8" s="197"/>
      <c r="MU8" s="197"/>
      <c r="MV8" s="197"/>
      <c r="MW8" s="197"/>
      <c r="MX8" s="197"/>
      <c r="MY8" s="197"/>
      <c r="MZ8" s="197"/>
      <c r="NA8" s="197"/>
      <c r="NB8" s="197"/>
      <c r="NC8" s="197"/>
      <c r="ND8" s="197"/>
      <c r="NE8" s="197"/>
      <c r="NF8" s="197"/>
      <c r="NG8" s="197"/>
      <c r="NH8" s="197"/>
      <c r="NI8" s="197"/>
      <c r="NJ8" s="197"/>
      <c r="NK8" s="197"/>
      <c r="NL8" s="197"/>
      <c r="NM8" s="197"/>
      <c r="NN8" s="197"/>
      <c r="NO8" s="197"/>
      <c r="NP8" s="197"/>
      <c r="NQ8" s="197"/>
      <c r="NR8" s="197"/>
      <c r="NS8" s="197"/>
      <c r="NT8" s="197"/>
      <c r="NU8" s="197"/>
      <c r="NV8" s="197"/>
      <c r="NW8" s="197"/>
      <c r="NX8" s="197"/>
      <c r="NY8" s="197"/>
      <c r="NZ8" s="197"/>
      <c r="OA8" s="197"/>
      <c r="OB8" s="197"/>
      <c r="OC8" s="197"/>
      <c r="OD8" s="197"/>
      <c r="OE8" s="197"/>
      <c r="OF8" s="197"/>
      <c r="OG8" s="197"/>
      <c r="OH8" s="197"/>
      <c r="OI8" s="197"/>
      <c r="OJ8" s="197"/>
      <c r="OK8" s="197"/>
      <c r="OL8" s="197"/>
      <c r="OM8" s="197"/>
      <c r="ON8" s="197"/>
      <c r="OO8" s="197"/>
      <c r="OP8" s="197"/>
      <c r="OQ8" s="197"/>
      <c r="OR8" s="197"/>
      <c r="OS8" s="197"/>
      <c r="OT8" s="197"/>
      <c r="OU8" s="197"/>
      <c r="OV8" s="197"/>
      <c r="OW8" s="197"/>
      <c r="OX8" s="197"/>
      <c r="OY8" s="197"/>
      <c r="OZ8" s="197"/>
      <c r="PA8" s="197"/>
      <c r="PB8" s="197"/>
      <c r="PC8" s="197"/>
      <c r="PD8" s="197"/>
      <c r="PE8" s="197"/>
      <c r="PF8" s="197"/>
      <c r="PG8" s="197"/>
      <c r="PH8" s="197"/>
      <c r="PI8" s="197"/>
      <c r="PJ8" s="197"/>
      <c r="PK8" s="197"/>
      <c r="PL8" s="197"/>
      <c r="PM8" s="197"/>
      <c r="PN8" s="197"/>
      <c r="PO8" s="197"/>
      <c r="PP8" s="197"/>
      <c r="PQ8" s="197"/>
      <c r="PR8" s="197"/>
      <c r="PS8" s="197"/>
      <c r="PT8" s="197"/>
      <c r="PU8" s="197"/>
      <c r="PV8" s="197"/>
      <c r="PW8" s="197"/>
      <c r="PX8" s="197"/>
      <c r="PY8" s="197"/>
      <c r="PZ8" s="197"/>
      <c r="QA8" s="197"/>
      <c r="QB8" s="197"/>
      <c r="QC8" s="197"/>
      <c r="QD8" s="197"/>
      <c r="QE8" s="197"/>
      <c r="QF8" s="197"/>
      <c r="QG8" s="197"/>
      <c r="QH8" s="197"/>
      <c r="QI8" s="197"/>
      <c r="QJ8" s="197"/>
      <c r="QK8" s="197"/>
      <c r="QL8" s="197"/>
      <c r="QM8" s="197"/>
      <c r="QN8" s="197"/>
      <c r="QO8" s="197"/>
      <c r="QP8" s="197"/>
      <c r="QQ8" s="197"/>
      <c r="QR8" s="197"/>
      <c r="QS8" s="197"/>
      <c r="QT8" s="197"/>
      <c r="QU8" s="197"/>
      <c r="QV8" s="197"/>
      <c r="QW8" s="197"/>
      <c r="QX8" s="197"/>
      <c r="QY8" s="197"/>
      <c r="QZ8" s="197"/>
      <c r="RA8" s="197"/>
      <c r="RB8" s="197"/>
      <c r="RC8" s="197"/>
      <c r="RD8" s="197"/>
      <c r="RE8" s="197"/>
      <c r="RF8" s="197"/>
      <c r="RG8" s="197"/>
      <c r="RH8" s="197"/>
      <c r="RI8" s="197"/>
      <c r="RJ8" s="197"/>
      <c r="RK8" s="197"/>
      <c r="RL8" s="197"/>
      <c r="RM8" s="197"/>
      <c r="RN8" s="197"/>
      <c r="RO8" s="197"/>
      <c r="RP8" s="197"/>
      <c r="RQ8" s="197"/>
      <c r="RR8" s="197"/>
      <c r="RS8" s="197"/>
      <c r="RT8" s="197"/>
      <c r="RU8" s="197"/>
      <c r="RV8" s="197"/>
      <c r="RW8" s="197"/>
      <c r="RX8" s="197"/>
      <c r="RY8" s="197"/>
      <c r="RZ8" s="197"/>
      <c r="SA8" s="197"/>
      <c r="SB8" s="197"/>
      <c r="SC8" s="197"/>
      <c r="SD8" s="197"/>
      <c r="SE8" s="197"/>
      <c r="SF8" s="197"/>
      <c r="SG8" s="197"/>
      <c r="SH8" s="197"/>
      <c r="SI8" s="197"/>
      <c r="SJ8" s="197"/>
      <c r="SK8" s="197"/>
      <c r="SL8" s="197"/>
      <c r="SM8" s="197"/>
      <c r="SN8" s="197"/>
      <c r="SO8" s="197"/>
      <c r="SP8" s="197"/>
      <c r="SQ8" s="197"/>
      <c r="SR8" s="197"/>
      <c r="SS8" s="197"/>
      <c r="ST8" s="197"/>
      <c r="SU8" s="197"/>
      <c r="SV8" s="197"/>
      <c r="SW8" s="197"/>
      <c r="SX8" s="197"/>
      <c r="SY8" s="197"/>
      <c r="SZ8" s="197"/>
      <c r="TA8" s="197"/>
      <c r="TB8" s="197"/>
      <c r="TC8" s="197"/>
      <c r="TD8" s="197"/>
      <c r="TE8" s="197"/>
      <c r="TF8" s="197"/>
      <c r="TG8" s="197"/>
      <c r="TH8" s="197"/>
      <c r="TI8" s="197"/>
      <c r="TJ8" s="197"/>
      <c r="TK8" s="197"/>
      <c r="TL8" s="197"/>
      <c r="TM8" s="197"/>
      <c r="TN8" s="197"/>
      <c r="TO8" s="197"/>
      <c r="TP8" s="197"/>
      <c r="TQ8" s="197"/>
      <c r="TR8" s="197"/>
      <c r="TS8" s="197"/>
      <c r="TT8" s="197"/>
      <c r="TU8" s="197"/>
      <c r="TV8" s="197"/>
      <c r="TW8" s="197"/>
      <c r="TX8" s="197"/>
      <c r="TY8" s="197"/>
      <c r="TZ8" s="197"/>
      <c r="UA8" s="197"/>
      <c r="UB8" s="197"/>
      <c r="UC8" s="197"/>
      <c r="UD8" s="197"/>
      <c r="UE8" s="197"/>
      <c r="UF8" s="197"/>
      <c r="UG8" s="197"/>
      <c r="UH8" s="197"/>
      <c r="UI8" s="197"/>
      <c r="UJ8" s="197"/>
      <c r="UK8" s="197"/>
      <c r="UL8" s="197"/>
      <c r="UM8" s="197"/>
      <c r="UN8" s="197"/>
      <c r="UO8" s="197"/>
      <c r="UP8" s="197"/>
      <c r="UQ8" s="197"/>
      <c r="UR8" s="197"/>
      <c r="US8" s="197"/>
      <c r="UT8" s="197"/>
      <c r="UU8" s="197"/>
      <c r="UV8" s="197"/>
      <c r="UW8" s="197"/>
      <c r="UX8" s="197"/>
      <c r="UY8" s="197"/>
      <c r="UZ8" s="197"/>
      <c r="VA8" s="197"/>
      <c r="VB8" s="197"/>
      <c r="VC8" s="197"/>
      <c r="VD8" s="197"/>
      <c r="VE8" s="197"/>
      <c r="VF8" s="197"/>
      <c r="VG8" s="197"/>
      <c r="VH8" s="197"/>
      <c r="VI8" s="197"/>
      <c r="VJ8" s="197"/>
      <c r="VK8" s="197"/>
      <c r="VL8" s="197"/>
      <c r="VM8" s="197"/>
      <c r="VN8" s="197"/>
      <c r="VO8" s="197"/>
      <c r="VP8" s="197"/>
      <c r="VQ8" s="197"/>
      <c r="VR8" s="197"/>
      <c r="VS8" s="197"/>
      <c r="VT8" s="197"/>
      <c r="VU8" s="197"/>
    </row>
    <row r="9" spans="1:593" s="118" customFormat="1" ht="15.75" customHeight="1" x14ac:dyDescent="0.15">
      <c r="A9" s="230"/>
      <c r="B9" s="198" t="s">
        <v>309</v>
      </c>
      <c r="C9" s="199" t="s">
        <v>442</v>
      </c>
      <c r="D9" s="200" t="s">
        <v>455</v>
      </c>
      <c r="E9" s="197" t="s">
        <v>455</v>
      </c>
      <c r="F9" s="200"/>
      <c r="G9" s="200" t="s">
        <v>460</v>
      </c>
      <c r="H9" s="200" t="s">
        <v>455</v>
      </c>
      <c r="I9" s="200"/>
      <c r="J9" s="200" t="s">
        <v>475</v>
      </c>
      <c r="K9" s="200"/>
      <c r="L9" s="200" t="s">
        <v>480</v>
      </c>
      <c r="M9" s="200" t="s">
        <v>479</v>
      </c>
      <c r="N9" s="200" t="s">
        <v>475</v>
      </c>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c r="BC9" s="200"/>
      <c r="BD9" s="200"/>
      <c r="BE9" s="200"/>
      <c r="BF9" s="200"/>
      <c r="BG9" s="200"/>
      <c r="BH9" s="200"/>
      <c r="BI9" s="200"/>
      <c r="BJ9" s="200"/>
      <c r="BK9" s="200"/>
      <c r="BL9" s="200"/>
      <c r="BM9" s="200"/>
      <c r="BN9" s="200"/>
      <c r="BO9" s="200"/>
      <c r="BP9" s="200"/>
      <c r="BQ9" s="200"/>
      <c r="BR9" s="200"/>
      <c r="BS9" s="200"/>
      <c r="BT9" s="200"/>
      <c r="BU9" s="200"/>
      <c r="BV9" s="200"/>
      <c r="BW9" s="200"/>
      <c r="BX9" s="200"/>
      <c r="BY9" s="200"/>
      <c r="BZ9" s="200"/>
      <c r="CA9" s="200"/>
      <c r="CB9" s="200"/>
      <c r="CC9" s="200"/>
      <c r="CD9" s="200"/>
      <c r="CE9" s="200"/>
      <c r="CF9" s="200"/>
      <c r="CG9" s="200"/>
      <c r="CH9" s="200"/>
      <c r="CI9" s="200"/>
      <c r="CJ9" s="200"/>
      <c r="CK9" s="200"/>
      <c r="CL9" s="200"/>
      <c r="CM9" s="200"/>
      <c r="CN9" s="200"/>
      <c r="CO9" s="200"/>
      <c r="CP9" s="200"/>
      <c r="CQ9" s="200"/>
      <c r="CR9" s="200"/>
      <c r="CS9" s="200"/>
      <c r="CT9" s="200"/>
      <c r="CU9" s="200"/>
      <c r="CV9" s="200"/>
      <c r="CW9" s="200"/>
      <c r="CX9" s="200"/>
      <c r="CY9" s="200"/>
      <c r="CZ9" s="200"/>
      <c r="DA9" s="200"/>
      <c r="DB9" s="200"/>
      <c r="DC9" s="200"/>
      <c r="DD9" s="200"/>
      <c r="DE9" s="200"/>
      <c r="DF9" s="200"/>
      <c r="DG9" s="200"/>
      <c r="DH9" s="200"/>
      <c r="DI9" s="200"/>
      <c r="DJ9" s="200"/>
      <c r="DK9" s="200"/>
      <c r="DL9" s="200"/>
      <c r="DM9" s="200"/>
      <c r="DN9" s="200"/>
      <c r="DO9" s="200"/>
      <c r="DP9" s="200"/>
      <c r="DQ9" s="200"/>
      <c r="DR9" s="200"/>
      <c r="DS9" s="200"/>
      <c r="DT9" s="200"/>
      <c r="DU9" s="200"/>
      <c r="DV9" s="200"/>
      <c r="DW9" s="200"/>
      <c r="DX9" s="200"/>
      <c r="DY9" s="200"/>
      <c r="DZ9" s="200"/>
      <c r="EA9" s="200"/>
      <c r="EB9" s="200"/>
      <c r="EC9" s="200"/>
      <c r="ED9" s="200"/>
      <c r="EE9" s="200"/>
      <c r="EF9" s="200"/>
      <c r="EG9" s="200"/>
      <c r="EH9" s="200"/>
      <c r="EI9" s="200"/>
      <c r="EJ9" s="200"/>
      <c r="EK9" s="200"/>
      <c r="EL9" s="200"/>
      <c r="EM9" s="200"/>
      <c r="EN9" s="200"/>
      <c r="EO9" s="200"/>
      <c r="EP9" s="200"/>
      <c r="EQ9" s="200"/>
      <c r="ER9" s="200"/>
      <c r="ES9" s="200"/>
      <c r="ET9" s="200"/>
      <c r="EU9" s="200"/>
      <c r="EV9" s="200"/>
      <c r="EW9" s="200"/>
      <c r="EX9" s="200"/>
      <c r="EY9" s="200"/>
      <c r="EZ9" s="200"/>
      <c r="FA9" s="200"/>
      <c r="FB9" s="200"/>
      <c r="FC9" s="200"/>
      <c r="FD9" s="200"/>
      <c r="FE9" s="200"/>
      <c r="FF9" s="200"/>
      <c r="FG9" s="200"/>
      <c r="FH9" s="200"/>
      <c r="FI9" s="200"/>
      <c r="FJ9" s="200"/>
      <c r="FK9" s="200"/>
      <c r="FL9" s="200"/>
      <c r="FM9" s="200"/>
      <c r="FN9" s="200"/>
      <c r="FO9" s="200"/>
      <c r="FP9" s="200"/>
      <c r="FQ9" s="200"/>
      <c r="FR9" s="200"/>
      <c r="FS9" s="200"/>
      <c r="FT9" s="200"/>
      <c r="FU9" s="200"/>
      <c r="FV9" s="200"/>
      <c r="FW9" s="200"/>
      <c r="FX9" s="200"/>
      <c r="FY9" s="200"/>
      <c r="FZ9" s="200"/>
      <c r="GA9" s="200"/>
      <c r="GB9" s="200"/>
      <c r="GC9" s="200"/>
      <c r="GD9" s="200"/>
      <c r="GE9" s="200"/>
      <c r="GF9" s="200"/>
      <c r="GG9" s="200"/>
      <c r="GH9" s="200"/>
      <c r="GI9" s="200"/>
      <c r="GJ9" s="200"/>
      <c r="GK9" s="200"/>
      <c r="GL9" s="200"/>
      <c r="GM9" s="200"/>
      <c r="GN9" s="200"/>
      <c r="GO9" s="200"/>
      <c r="GP9" s="200"/>
      <c r="GQ9" s="200"/>
      <c r="GR9" s="200"/>
      <c r="GS9" s="200"/>
      <c r="GT9" s="200"/>
      <c r="GU9" s="200"/>
      <c r="GV9" s="200"/>
      <c r="GW9" s="200"/>
      <c r="GX9" s="200"/>
      <c r="GY9" s="200"/>
      <c r="GZ9" s="200"/>
      <c r="HA9" s="200"/>
      <c r="HB9" s="200"/>
      <c r="HC9" s="200"/>
      <c r="HD9" s="200"/>
      <c r="HE9" s="200"/>
      <c r="HF9" s="200"/>
      <c r="HG9" s="200"/>
      <c r="HH9" s="200"/>
      <c r="HI9" s="200"/>
      <c r="HJ9" s="200"/>
      <c r="HK9" s="200"/>
      <c r="HL9" s="200"/>
      <c r="HM9" s="200"/>
      <c r="HN9" s="200"/>
      <c r="HO9" s="200"/>
      <c r="HP9" s="200"/>
      <c r="HQ9" s="200"/>
      <c r="HR9" s="200"/>
      <c r="HS9" s="200"/>
      <c r="HT9" s="200"/>
      <c r="HU9" s="200"/>
      <c r="HV9" s="200"/>
      <c r="HW9" s="200"/>
      <c r="HX9" s="200"/>
      <c r="HY9" s="200"/>
      <c r="HZ9" s="200"/>
      <c r="IA9" s="200"/>
      <c r="IB9" s="200"/>
      <c r="IC9" s="200"/>
      <c r="ID9" s="200"/>
      <c r="IE9" s="200"/>
      <c r="IF9" s="200"/>
      <c r="IG9" s="200"/>
      <c r="IH9" s="200"/>
      <c r="II9" s="200"/>
      <c r="IJ9" s="200"/>
      <c r="IK9" s="200"/>
      <c r="IL9" s="200"/>
      <c r="IM9" s="200"/>
      <c r="IN9" s="200"/>
      <c r="IO9" s="200"/>
      <c r="IP9" s="200"/>
      <c r="IQ9" s="200"/>
      <c r="IR9" s="200"/>
      <c r="IS9" s="200"/>
      <c r="IT9" s="200"/>
      <c r="IU9" s="200"/>
      <c r="IV9" s="200"/>
      <c r="IW9" s="200"/>
      <c r="IX9" s="200"/>
      <c r="IY9" s="200"/>
      <c r="IZ9" s="200"/>
      <c r="JA9" s="200"/>
      <c r="JB9" s="200"/>
      <c r="JC9" s="200"/>
      <c r="JD9" s="200"/>
      <c r="JE9" s="200"/>
      <c r="JF9" s="200"/>
      <c r="JG9" s="200"/>
      <c r="JH9" s="200"/>
      <c r="JI9" s="200"/>
      <c r="JJ9" s="200"/>
      <c r="JK9" s="200"/>
      <c r="JL9" s="200"/>
      <c r="JM9" s="200"/>
      <c r="JN9" s="200"/>
      <c r="JO9" s="200"/>
      <c r="JP9" s="200"/>
      <c r="JQ9" s="200"/>
      <c r="JR9" s="200"/>
      <c r="JS9" s="200"/>
      <c r="JT9" s="200"/>
      <c r="JU9" s="200"/>
      <c r="JV9" s="200"/>
      <c r="JW9" s="200"/>
      <c r="JX9" s="200"/>
      <c r="JY9" s="200"/>
      <c r="JZ9" s="200"/>
      <c r="KA9" s="200"/>
      <c r="KB9" s="200"/>
      <c r="KC9" s="200"/>
      <c r="KD9" s="200"/>
      <c r="KE9" s="200"/>
      <c r="KF9" s="200"/>
      <c r="KG9" s="200"/>
      <c r="KH9" s="200"/>
      <c r="KI9" s="200"/>
      <c r="KJ9" s="200"/>
      <c r="KK9" s="200"/>
      <c r="KL9" s="200"/>
      <c r="KM9" s="200"/>
      <c r="KN9" s="200"/>
      <c r="KO9" s="200"/>
      <c r="KP9" s="200"/>
      <c r="KQ9" s="200"/>
      <c r="KR9" s="200"/>
      <c r="KS9" s="200"/>
      <c r="KT9" s="200"/>
      <c r="KU9" s="200"/>
      <c r="KV9" s="200"/>
      <c r="KW9" s="200"/>
      <c r="KX9" s="200"/>
      <c r="KY9" s="200"/>
      <c r="KZ9" s="200"/>
      <c r="LA9" s="200"/>
      <c r="LB9" s="200"/>
      <c r="LC9" s="200"/>
      <c r="LD9" s="200"/>
      <c r="LE9" s="200"/>
      <c r="LF9" s="200"/>
      <c r="LG9" s="200"/>
      <c r="LH9" s="200"/>
      <c r="LI9" s="200"/>
      <c r="LJ9" s="200"/>
      <c r="LK9" s="200"/>
      <c r="LL9" s="200"/>
      <c r="LM9" s="200"/>
      <c r="LN9" s="200"/>
      <c r="LO9" s="200"/>
      <c r="LP9" s="200"/>
      <c r="LQ9" s="200"/>
      <c r="LR9" s="200"/>
      <c r="LS9" s="200"/>
      <c r="LT9" s="200"/>
      <c r="LU9" s="200"/>
      <c r="LV9" s="200"/>
      <c r="LW9" s="200"/>
      <c r="LX9" s="200"/>
      <c r="LY9" s="200"/>
      <c r="LZ9" s="200"/>
      <c r="MA9" s="200"/>
      <c r="MB9" s="200"/>
      <c r="MC9" s="200"/>
      <c r="MD9" s="200"/>
      <c r="ME9" s="200"/>
      <c r="MF9" s="200"/>
      <c r="MG9" s="200"/>
      <c r="MH9" s="200"/>
      <c r="MI9" s="200"/>
      <c r="MJ9" s="200"/>
      <c r="MK9" s="200"/>
      <c r="ML9" s="200"/>
      <c r="MM9" s="200"/>
      <c r="MN9" s="200"/>
      <c r="MO9" s="200"/>
      <c r="MP9" s="200"/>
      <c r="MQ9" s="200"/>
      <c r="MR9" s="200"/>
      <c r="MS9" s="200"/>
      <c r="MT9" s="200"/>
      <c r="MU9" s="200"/>
      <c r="MV9" s="200"/>
      <c r="MW9" s="200"/>
      <c r="MX9" s="200"/>
      <c r="MY9" s="200"/>
      <c r="MZ9" s="200"/>
      <c r="NA9" s="200"/>
      <c r="NB9" s="200"/>
      <c r="NC9" s="200"/>
      <c r="ND9" s="200"/>
      <c r="NE9" s="200"/>
      <c r="NF9" s="200"/>
      <c r="NG9" s="200"/>
      <c r="NH9" s="200"/>
      <c r="NI9" s="200"/>
      <c r="NJ9" s="200"/>
      <c r="NK9" s="200"/>
      <c r="NL9" s="200"/>
      <c r="NM9" s="200"/>
      <c r="NN9" s="200"/>
      <c r="NO9" s="200"/>
      <c r="NP9" s="200"/>
      <c r="NQ9" s="200"/>
      <c r="NR9" s="200"/>
      <c r="NS9" s="200"/>
      <c r="NT9" s="200"/>
      <c r="NU9" s="200"/>
      <c r="NV9" s="200"/>
      <c r="NW9" s="200"/>
      <c r="NX9" s="200"/>
      <c r="NY9" s="200"/>
      <c r="NZ9" s="200"/>
      <c r="OA9" s="200"/>
      <c r="OB9" s="200"/>
      <c r="OC9" s="200"/>
      <c r="OD9" s="200"/>
      <c r="OE9" s="200"/>
      <c r="OF9" s="200"/>
      <c r="OG9" s="200"/>
      <c r="OH9" s="200"/>
      <c r="OI9" s="200"/>
      <c r="OJ9" s="200"/>
      <c r="OK9" s="200"/>
      <c r="OL9" s="200"/>
      <c r="OM9" s="200"/>
      <c r="ON9" s="200"/>
      <c r="OO9" s="200"/>
      <c r="OP9" s="200"/>
      <c r="OQ9" s="200"/>
      <c r="OR9" s="200"/>
      <c r="OS9" s="200"/>
      <c r="OT9" s="200"/>
      <c r="OU9" s="200"/>
      <c r="OV9" s="200"/>
      <c r="OW9" s="200"/>
      <c r="OX9" s="200"/>
      <c r="OY9" s="200"/>
      <c r="OZ9" s="200"/>
      <c r="PA9" s="200"/>
      <c r="PB9" s="200"/>
      <c r="PC9" s="200"/>
      <c r="PD9" s="200"/>
      <c r="PE9" s="200"/>
      <c r="PF9" s="200"/>
      <c r="PG9" s="200"/>
      <c r="PH9" s="200"/>
      <c r="PI9" s="200"/>
      <c r="PJ9" s="200"/>
      <c r="PK9" s="200"/>
      <c r="PL9" s="200"/>
      <c r="PM9" s="200"/>
      <c r="PN9" s="200"/>
      <c r="PO9" s="200"/>
      <c r="PP9" s="200"/>
      <c r="PQ9" s="200"/>
      <c r="PR9" s="200"/>
      <c r="PS9" s="200"/>
      <c r="PT9" s="200"/>
      <c r="PU9" s="200"/>
      <c r="PV9" s="200"/>
      <c r="PW9" s="200"/>
      <c r="PX9" s="200"/>
      <c r="PY9" s="200"/>
      <c r="PZ9" s="200"/>
      <c r="QA9" s="200"/>
      <c r="QB9" s="200"/>
      <c r="QC9" s="200"/>
      <c r="QD9" s="200"/>
      <c r="QE9" s="200"/>
      <c r="QF9" s="200"/>
      <c r="QG9" s="200"/>
      <c r="QH9" s="200"/>
      <c r="QI9" s="200"/>
      <c r="QJ9" s="200"/>
      <c r="QK9" s="200"/>
      <c r="QL9" s="200"/>
      <c r="QM9" s="200"/>
      <c r="QN9" s="200"/>
      <c r="QO9" s="200"/>
      <c r="QP9" s="200"/>
      <c r="QQ9" s="200"/>
      <c r="QR9" s="200"/>
      <c r="QS9" s="200"/>
      <c r="QT9" s="200"/>
      <c r="QU9" s="200"/>
      <c r="QV9" s="200"/>
      <c r="QW9" s="200"/>
      <c r="QX9" s="200"/>
      <c r="QY9" s="200"/>
      <c r="QZ9" s="200"/>
      <c r="RA9" s="200"/>
      <c r="RB9" s="200"/>
      <c r="RC9" s="200"/>
      <c r="RD9" s="200"/>
      <c r="RE9" s="200"/>
      <c r="RF9" s="200"/>
      <c r="RG9" s="200"/>
      <c r="RH9" s="200"/>
      <c r="RI9" s="200"/>
      <c r="RJ9" s="200"/>
      <c r="RK9" s="200"/>
      <c r="RL9" s="200"/>
      <c r="RM9" s="200"/>
      <c r="RN9" s="200"/>
      <c r="RO9" s="200"/>
      <c r="RP9" s="200"/>
      <c r="RQ9" s="200"/>
      <c r="RR9" s="200"/>
      <c r="RS9" s="200"/>
      <c r="RT9" s="200"/>
      <c r="RU9" s="200"/>
      <c r="RV9" s="200"/>
      <c r="RW9" s="200"/>
      <c r="RX9" s="200"/>
      <c r="RY9" s="200"/>
      <c r="RZ9" s="200"/>
      <c r="SA9" s="200"/>
      <c r="SB9" s="200"/>
      <c r="SC9" s="200"/>
      <c r="SD9" s="200"/>
      <c r="SE9" s="200"/>
      <c r="SF9" s="200"/>
      <c r="SG9" s="200"/>
      <c r="SH9" s="200"/>
      <c r="SI9" s="200"/>
      <c r="SJ9" s="200"/>
      <c r="SK9" s="200"/>
      <c r="SL9" s="200"/>
      <c r="SM9" s="200"/>
      <c r="SN9" s="200"/>
      <c r="SO9" s="200"/>
      <c r="SP9" s="200"/>
      <c r="SQ9" s="200"/>
      <c r="SR9" s="200"/>
      <c r="SS9" s="200"/>
      <c r="ST9" s="200"/>
      <c r="SU9" s="200"/>
      <c r="SV9" s="200"/>
      <c r="SW9" s="200"/>
      <c r="SX9" s="200"/>
      <c r="SY9" s="200"/>
      <c r="SZ9" s="200"/>
      <c r="TA9" s="200"/>
      <c r="TB9" s="200"/>
      <c r="TC9" s="200"/>
      <c r="TD9" s="200"/>
      <c r="TE9" s="200"/>
      <c r="TF9" s="200"/>
      <c r="TG9" s="200"/>
      <c r="TH9" s="200"/>
      <c r="TI9" s="200"/>
      <c r="TJ9" s="200"/>
      <c r="TK9" s="200"/>
      <c r="TL9" s="200"/>
      <c r="TM9" s="200"/>
      <c r="TN9" s="200"/>
      <c r="TO9" s="200"/>
      <c r="TP9" s="200"/>
      <c r="TQ9" s="200"/>
      <c r="TR9" s="200"/>
      <c r="TS9" s="200"/>
      <c r="TT9" s="200"/>
      <c r="TU9" s="200"/>
      <c r="TV9" s="200"/>
      <c r="TW9" s="200"/>
      <c r="TX9" s="200"/>
      <c r="TY9" s="200"/>
      <c r="TZ9" s="200"/>
      <c r="UA9" s="200"/>
      <c r="UB9" s="200"/>
      <c r="UC9" s="200"/>
      <c r="UD9" s="200"/>
      <c r="UE9" s="200"/>
      <c r="UF9" s="200"/>
      <c r="UG9" s="200"/>
      <c r="UH9" s="200"/>
      <c r="UI9" s="200"/>
      <c r="UJ9" s="200"/>
      <c r="UK9" s="200"/>
      <c r="UL9" s="200"/>
      <c r="UM9" s="200"/>
      <c r="UN9" s="200"/>
      <c r="UO9" s="200"/>
      <c r="UP9" s="200"/>
      <c r="UQ9" s="200"/>
      <c r="UR9" s="200"/>
      <c r="US9" s="200"/>
      <c r="UT9" s="200"/>
      <c r="UU9" s="200"/>
      <c r="UV9" s="200"/>
      <c r="UW9" s="200"/>
      <c r="UX9" s="200"/>
      <c r="UY9" s="200"/>
      <c r="UZ9" s="200"/>
      <c r="VA9" s="200"/>
      <c r="VB9" s="200"/>
      <c r="VC9" s="200"/>
      <c r="VD9" s="200"/>
      <c r="VE9" s="200"/>
      <c r="VF9" s="200"/>
      <c r="VG9" s="200"/>
      <c r="VH9" s="200"/>
      <c r="VI9" s="200"/>
      <c r="VJ9" s="200"/>
      <c r="VK9" s="200"/>
      <c r="VL9" s="200"/>
      <c r="VM9" s="200"/>
      <c r="VN9" s="200"/>
      <c r="VO9" s="200"/>
      <c r="VP9" s="200"/>
      <c r="VQ9" s="200"/>
      <c r="VR9" s="200"/>
      <c r="VS9" s="200"/>
      <c r="VT9" s="200"/>
      <c r="VU9" s="200"/>
    </row>
    <row r="10" spans="1:593" s="117" customFormat="1" ht="29.25" customHeight="1" x14ac:dyDescent="0.15">
      <c r="A10" s="230"/>
      <c r="B10" s="201" t="s">
        <v>313</v>
      </c>
      <c r="C10" s="202" t="s">
        <v>410</v>
      </c>
      <c r="D10" s="203">
        <v>4</v>
      </c>
      <c r="E10" s="203">
        <v>4</v>
      </c>
      <c r="F10" s="203">
        <v>4</v>
      </c>
      <c r="G10" s="203">
        <v>4</v>
      </c>
      <c r="H10" s="203">
        <v>4</v>
      </c>
      <c r="I10" s="203">
        <v>3</v>
      </c>
      <c r="J10" s="203">
        <v>3</v>
      </c>
      <c r="K10" s="203">
        <v>3</v>
      </c>
      <c r="L10" s="203">
        <v>3</v>
      </c>
      <c r="M10" s="203">
        <v>2</v>
      </c>
      <c r="N10" s="203">
        <v>4</v>
      </c>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c r="AT10" s="203"/>
      <c r="AU10" s="203"/>
      <c r="AV10" s="203"/>
      <c r="AW10" s="203"/>
      <c r="AX10" s="203"/>
      <c r="AY10" s="203"/>
      <c r="AZ10" s="203"/>
      <c r="BA10" s="203"/>
      <c r="BB10" s="203"/>
      <c r="BC10" s="203"/>
      <c r="BD10" s="203"/>
      <c r="BE10" s="203"/>
      <c r="BF10" s="203"/>
      <c r="BG10" s="203"/>
      <c r="BH10" s="203"/>
      <c r="BI10" s="203"/>
      <c r="BJ10" s="203"/>
      <c r="BK10" s="203"/>
      <c r="BL10" s="203"/>
      <c r="BM10" s="203"/>
      <c r="BN10" s="203"/>
      <c r="BO10" s="203"/>
      <c r="BP10" s="203"/>
      <c r="BQ10" s="203"/>
      <c r="BR10" s="203"/>
      <c r="BS10" s="203"/>
      <c r="BT10" s="203"/>
      <c r="BU10" s="203"/>
      <c r="BV10" s="203"/>
      <c r="BW10" s="203"/>
      <c r="BX10" s="203"/>
      <c r="BY10" s="203"/>
      <c r="BZ10" s="203"/>
      <c r="CA10" s="203"/>
      <c r="CB10" s="203"/>
      <c r="CC10" s="203"/>
      <c r="CD10" s="203"/>
      <c r="CE10" s="203"/>
      <c r="CF10" s="203"/>
      <c r="CG10" s="203"/>
      <c r="CH10" s="203"/>
      <c r="CI10" s="203"/>
      <c r="CJ10" s="203"/>
      <c r="CK10" s="203"/>
      <c r="CL10" s="203"/>
      <c r="CM10" s="203"/>
      <c r="CN10" s="203"/>
      <c r="CO10" s="203"/>
      <c r="CP10" s="203"/>
      <c r="CQ10" s="203"/>
      <c r="CR10" s="203"/>
      <c r="CS10" s="203"/>
      <c r="CT10" s="203"/>
      <c r="CU10" s="203"/>
      <c r="CV10" s="203"/>
      <c r="CW10" s="203"/>
      <c r="CX10" s="203"/>
      <c r="CY10" s="203"/>
      <c r="CZ10" s="203"/>
      <c r="DA10" s="203"/>
      <c r="DB10" s="203"/>
      <c r="DC10" s="203"/>
      <c r="DD10" s="203"/>
      <c r="DE10" s="203"/>
      <c r="DF10" s="203"/>
      <c r="DG10" s="203"/>
      <c r="DH10" s="203"/>
      <c r="DI10" s="203"/>
      <c r="DJ10" s="203"/>
      <c r="DK10" s="203"/>
      <c r="DL10" s="203"/>
      <c r="DM10" s="203"/>
      <c r="DN10" s="203"/>
      <c r="DO10" s="203"/>
      <c r="DP10" s="203"/>
      <c r="DQ10" s="203"/>
      <c r="DR10" s="203"/>
      <c r="DS10" s="203"/>
      <c r="DT10" s="203"/>
      <c r="DU10" s="203"/>
      <c r="DV10" s="203"/>
      <c r="DW10" s="203"/>
      <c r="DX10" s="203"/>
      <c r="DY10" s="203"/>
      <c r="DZ10" s="203"/>
      <c r="EA10" s="203"/>
      <c r="EB10" s="203"/>
      <c r="EC10" s="203"/>
      <c r="ED10" s="203"/>
      <c r="EE10" s="203"/>
      <c r="EF10" s="203"/>
      <c r="EG10" s="203"/>
      <c r="EH10" s="203"/>
      <c r="EI10" s="203"/>
      <c r="EJ10" s="203"/>
      <c r="EK10" s="203"/>
      <c r="EL10" s="203"/>
      <c r="EM10" s="203"/>
      <c r="EN10" s="203"/>
      <c r="EO10" s="203"/>
      <c r="EP10" s="203"/>
      <c r="EQ10" s="203"/>
      <c r="ER10" s="203"/>
      <c r="ES10" s="203"/>
      <c r="ET10" s="203"/>
      <c r="EU10" s="203"/>
      <c r="EV10" s="203"/>
      <c r="EW10" s="203"/>
      <c r="EX10" s="203"/>
      <c r="EY10" s="203"/>
      <c r="EZ10" s="203"/>
      <c r="FA10" s="203"/>
      <c r="FB10" s="203"/>
      <c r="FC10" s="203"/>
      <c r="FD10" s="203"/>
      <c r="FE10" s="203"/>
      <c r="FF10" s="203"/>
      <c r="FG10" s="203"/>
      <c r="FH10" s="203"/>
      <c r="FI10" s="203"/>
      <c r="FJ10" s="203"/>
      <c r="FK10" s="203"/>
      <c r="FL10" s="203"/>
      <c r="FM10" s="203"/>
      <c r="FN10" s="203"/>
      <c r="FO10" s="203"/>
      <c r="FP10" s="203"/>
      <c r="FQ10" s="203"/>
      <c r="FR10" s="203"/>
      <c r="FS10" s="203"/>
      <c r="FT10" s="203"/>
      <c r="FU10" s="203"/>
      <c r="FV10" s="203"/>
      <c r="FW10" s="203"/>
      <c r="FX10" s="203"/>
      <c r="FY10" s="203"/>
      <c r="FZ10" s="203"/>
      <c r="GA10" s="203"/>
      <c r="GB10" s="203"/>
      <c r="GC10" s="203"/>
      <c r="GD10" s="203"/>
      <c r="GE10" s="203"/>
      <c r="GF10" s="203"/>
      <c r="GG10" s="203"/>
      <c r="GH10" s="203"/>
      <c r="GI10" s="203"/>
      <c r="GJ10" s="203"/>
      <c r="GK10" s="203"/>
      <c r="GL10" s="203"/>
      <c r="GM10" s="203"/>
      <c r="GN10" s="203"/>
      <c r="GO10" s="203"/>
      <c r="GP10" s="203"/>
      <c r="GQ10" s="203"/>
      <c r="GR10" s="203"/>
      <c r="GS10" s="203"/>
      <c r="GT10" s="203"/>
      <c r="GU10" s="203"/>
      <c r="GV10" s="203"/>
      <c r="GW10" s="203"/>
      <c r="GX10" s="203"/>
      <c r="GY10" s="203"/>
      <c r="GZ10" s="203"/>
      <c r="HA10" s="203"/>
      <c r="HB10" s="203"/>
      <c r="HC10" s="203"/>
      <c r="HD10" s="203"/>
      <c r="HE10" s="203"/>
      <c r="HF10" s="203"/>
      <c r="HG10" s="203"/>
      <c r="HH10" s="203"/>
      <c r="HI10" s="203"/>
      <c r="HJ10" s="203"/>
      <c r="HK10" s="203"/>
      <c r="HL10" s="203"/>
      <c r="HM10" s="203"/>
      <c r="HN10" s="203"/>
      <c r="HO10" s="203"/>
      <c r="HP10" s="203"/>
      <c r="HQ10" s="203"/>
      <c r="HR10" s="203"/>
      <c r="HS10" s="203"/>
      <c r="HT10" s="203"/>
      <c r="HU10" s="203"/>
      <c r="HV10" s="203"/>
      <c r="HW10" s="203"/>
      <c r="HX10" s="203"/>
      <c r="HY10" s="203"/>
      <c r="HZ10" s="203"/>
      <c r="IA10" s="203"/>
      <c r="IB10" s="203"/>
      <c r="IC10" s="203"/>
      <c r="ID10" s="203"/>
      <c r="IE10" s="203"/>
      <c r="IF10" s="203"/>
      <c r="IG10" s="203"/>
      <c r="IH10" s="203"/>
      <c r="II10" s="203"/>
      <c r="IJ10" s="203"/>
      <c r="IK10" s="203"/>
      <c r="IL10" s="203"/>
      <c r="IM10" s="203"/>
      <c r="IN10" s="203"/>
      <c r="IO10" s="203"/>
      <c r="IP10" s="203"/>
      <c r="IQ10" s="203"/>
      <c r="IR10" s="203"/>
      <c r="IS10" s="203"/>
      <c r="IT10" s="203"/>
      <c r="IU10" s="203"/>
      <c r="IV10" s="203"/>
      <c r="IW10" s="203"/>
      <c r="IX10" s="203"/>
      <c r="IY10" s="203"/>
      <c r="IZ10" s="203"/>
      <c r="JA10" s="203"/>
      <c r="JB10" s="203"/>
      <c r="JC10" s="203"/>
      <c r="JD10" s="203"/>
      <c r="JE10" s="203"/>
      <c r="JF10" s="203"/>
      <c r="JG10" s="203"/>
      <c r="JH10" s="203"/>
      <c r="JI10" s="203"/>
      <c r="JJ10" s="203"/>
      <c r="JK10" s="203"/>
      <c r="JL10" s="203"/>
      <c r="JM10" s="203"/>
      <c r="JN10" s="203"/>
      <c r="JO10" s="203"/>
      <c r="JP10" s="203"/>
      <c r="JQ10" s="203"/>
      <c r="JR10" s="203"/>
      <c r="JS10" s="203"/>
      <c r="JT10" s="203"/>
      <c r="JU10" s="203"/>
      <c r="JV10" s="203"/>
      <c r="JW10" s="203"/>
      <c r="JX10" s="203"/>
      <c r="JY10" s="203"/>
      <c r="JZ10" s="203"/>
      <c r="KA10" s="203"/>
      <c r="KB10" s="203"/>
      <c r="KC10" s="203"/>
      <c r="KD10" s="203"/>
      <c r="KE10" s="203"/>
      <c r="KF10" s="203"/>
      <c r="KG10" s="203"/>
      <c r="KH10" s="203"/>
      <c r="KI10" s="203"/>
      <c r="KJ10" s="203"/>
      <c r="KK10" s="203"/>
      <c r="KL10" s="203"/>
      <c r="KM10" s="203"/>
      <c r="KN10" s="203"/>
      <c r="KO10" s="203"/>
      <c r="KP10" s="203"/>
      <c r="KQ10" s="203"/>
      <c r="KR10" s="203"/>
      <c r="KS10" s="203"/>
      <c r="KT10" s="203"/>
      <c r="KU10" s="203"/>
      <c r="KV10" s="203"/>
      <c r="KW10" s="203"/>
      <c r="KX10" s="203"/>
      <c r="KY10" s="203"/>
      <c r="KZ10" s="203"/>
      <c r="LA10" s="203"/>
      <c r="LB10" s="203"/>
      <c r="LC10" s="203"/>
      <c r="LD10" s="203"/>
      <c r="LE10" s="203"/>
      <c r="LF10" s="203"/>
      <c r="LG10" s="203"/>
      <c r="LH10" s="203"/>
      <c r="LI10" s="203"/>
      <c r="LJ10" s="203"/>
      <c r="LK10" s="203"/>
      <c r="LL10" s="203"/>
      <c r="LM10" s="203"/>
      <c r="LN10" s="203"/>
      <c r="LO10" s="203"/>
      <c r="LP10" s="203"/>
      <c r="LQ10" s="203"/>
      <c r="LR10" s="203"/>
      <c r="LS10" s="203"/>
      <c r="LT10" s="203"/>
      <c r="LU10" s="203"/>
      <c r="LV10" s="203"/>
      <c r="LW10" s="203"/>
      <c r="LX10" s="203"/>
      <c r="LY10" s="203"/>
      <c r="LZ10" s="203"/>
      <c r="MA10" s="203"/>
      <c r="MB10" s="203"/>
      <c r="MC10" s="203"/>
      <c r="MD10" s="203"/>
      <c r="ME10" s="203"/>
      <c r="MF10" s="203"/>
      <c r="MG10" s="203"/>
      <c r="MH10" s="203"/>
      <c r="MI10" s="203"/>
      <c r="MJ10" s="203"/>
      <c r="MK10" s="203"/>
      <c r="ML10" s="203"/>
      <c r="MM10" s="203"/>
      <c r="MN10" s="203"/>
      <c r="MO10" s="203"/>
      <c r="MP10" s="203"/>
      <c r="MQ10" s="203"/>
      <c r="MR10" s="203"/>
      <c r="MS10" s="203"/>
      <c r="MT10" s="203"/>
      <c r="MU10" s="203"/>
      <c r="MV10" s="203"/>
      <c r="MW10" s="203"/>
      <c r="MX10" s="203"/>
      <c r="MY10" s="203"/>
      <c r="MZ10" s="203"/>
      <c r="NA10" s="203"/>
      <c r="NB10" s="203"/>
      <c r="NC10" s="203"/>
      <c r="ND10" s="203"/>
      <c r="NE10" s="203"/>
      <c r="NF10" s="203"/>
      <c r="NG10" s="203"/>
      <c r="NH10" s="203"/>
      <c r="NI10" s="203"/>
      <c r="NJ10" s="203"/>
      <c r="NK10" s="203"/>
      <c r="NL10" s="203"/>
      <c r="NM10" s="203"/>
      <c r="NN10" s="203"/>
      <c r="NO10" s="203"/>
      <c r="NP10" s="203"/>
      <c r="NQ10" s="203"/>
      <c r="NR10" s="203"/>
      <c r="NS10" s="203"/>
      <c r="NT10" s="203"/>
      <c r="NU10" s="203"/>
      <c r="NV10" s="203"/>
      <c r="NW10" s="203"/>
      <c r="NX10" s="203"/>
      <c r="NY10" s="203"/>
      <c r="NZ10" s="203"/>
      <c r="OA10" s="203"/>
      <c r="OB10" s="203"/>
      <c r="OC10" s="203"/>
      <c r="OD10" s="203"/>
      <c r="OE10" s="203"/>
      <c r="OF10" s="203"/>
      <c r="OG10" s="203"/>
      <c r="OH10" s="203"/>
      <c r="OI10" s="203"/>
      <c r="OJ10" s="203"/>
      <c r="OK10" s="203"/>
      <c r="OL10" s="203"/>
      <c r="OM10" s="203"/>
      <c r="ON10" s="203"/>
      <c r="OO10" s="203"/>
      <c r="OP10" s="203"/>
      <c r="OQ10" s="203"/>
      <c r="OR10" s="203"/>
      <c r="OS10" s="203"/>
      <c r="OT10" s="203"/>
      <c r="OU10" s="203"/>
      <c r="OV10" s="203"/>
      <c r="OW10" s="203"/>
      <c r="OX10" s="203"/>
      <c r="OY10" s="203"/>
      <c r="OZ10" s="203"/>
      <c r="PA10" s="203"/>
      <c r="PB10" s="203"/>
      <c r="PC10" s="203"/>
      <c r="PD10" s="203"/>
      <c r="PE10" s="203"/>
      <c r="PF10" s="203"/>
      <c r="PG10" s="203"/>
      <c r="PH10" s="203"/>
      <c r="PI10" s="203"/>
      <c r="PJ10" s="203"/>
      <c r="PK10" s="203"/>
      <c r="PL10" s="203"/>
      <c r="PM10" s="203"/>
      <c r="PN10" s="203"/>
      <c r="PO10" s="203"/>
      <c r="PP10" s="203"/>
      <c r="PQ10" s="203"/>
      <c r="PR10" s="203"/>
      <c r="PS10" s="203"/>
      <c r="PT10" s="203"/>
      <c r="PU10" s="203"/>
      <c r="PV10" s="203"/>
      <c r="PW10" s="203"/>
      <c r="PX10" s="203"/>
      <c r="PY10" s="203"/>
      <c r="PZ10" s="203"/>
      <c r="QA10" s="203"/>
      <c r="QB10" s="203"/>
      <c r="QC10" s="203"/>
      <c r="QD10" s="203"/>
      <c r="QE10" s="203"/>
      <c r="QF10" s="203"/>
      <c r="QG10" s="203"/>
      <c r="QH10" s="203"/>
      <c r="QI10" s="203"/>
      <c r="QJ10" s="203"/>
      <c r="QK10" s="203"/>
      <c r="QL10" s="203"/>
      <c r="QM10" s="203"/>
      <c r="QN10" s="203"/>
      <c r="QO10" s="203"/>
      <c r="QP10" s="203"/>
      <c r="QQ10" s="203"/>
      <c r="QR10" s="203"/>
      <c r="QS10" s="203"/>
      <c r="QT10" s="203"/>
      <c r="QU10" s="203"/>
      <c r="QV10" s="203"/>
      <c r="QW10" s="203"/>
      <c r="QX10" s="203"/>
      <c r="QY10" s="203"/>
      <c r="QZ10" s="203"/>
      <c r="RA10" s="203"/>
      <c r="RB10" s="203"/>
      <c r="RC10" s="203"/>
      <c r="RD10" s="203"/>
      <c r="RE10" s="203"/>
      <c r="RF10" s="203"/>
      <c r="RG10" s="203"/>
      <c r="RH10" s="203"/>
      <c r="RI10" s="203"/>
      <c r="RJ10" s="203"/>
      <c r="RK10" s="203"/>
      <c r="RL10" s="203"/>
      <c r="RM10" s="203"/>
      <c r="RN10" s="203"/>
      <c r="RO10" s="203"/>
      <c r="RP10" s="203"/>
      <c r="RQ10" s="203"/>
      <c r="RR10" s="203"/>
      <c r="RS10" s="203"/>
      <c r="RT10" s="203"/>
      <c r="RU10" s="203"/>
      <c r="RV10" s="203"/>
      <c r="RW10" s="203"/>
      <c r="RX10" s="203"/>
      <c r="RY10" s="203"/>
      <c r="RZ10" s="203"/>
      <c r="SA10" s="203"/>
      <c r="SB10" s="203"/>
      <c r="SC10" s="203"/>
      <c r="SD10" s="203"/>
      <c r="SE10" s="203"/>
      <c r="SF10" s="203"/>
      <c r="SG10" s="203"/>
      <c r="SH10" s="203"/>
      <c r="SI10" s="203"/>
      <c r="SJ10" s="203"/>
      <c r="SK10" s="203"/>
      <c r="SL10" s="203"/>
      <c r="SM10" s="203"/>
      <c r="SN10" s="203"/>
      <c r="SO10" s="203"/>
      <c r="SP10" s="203"/>
      <c r="SQ10" s="203"/>
      <c r="SR10" s="203"/>
      <c r="SS10" s="203"/>
      <c r="ST10" s="203"/>
      <c r="SU10" s="203"/>
      <c r="SV10" s="203"/>
      <c r="SW10" s="203"/>
      <c r="SX10" s="203"/>
      <c r="SY10" s="203"/>
      <c r="SZ10" s="203"/>
      <c r="TA10" s="203"/>
      <c r="TB10" s="203"/>
      <c r="TC10" s="203"/>
      <c r="TD10" s="203"/>
      <c r="TE10" s="203"/>
      <c r="TF10" s="203"/>
      <c r="TG10" s="203"/>
      <c r="TH10" s="203"/>
      <c r="TI10" s="203"/>
      <c r="TJ10" s="203"/>
      <c r="TK10" s="203"/>
      <c r="TL10" s="203"/>
      <c r="TM10" s="203"/>
      <c r="TN10" s="203"/>
      <c r="TO10" s="203"/>
      <c r="TP10" s="203"/>
      <c r="TQ10" s="203"/>
      <c r="TR10" s="203"/>
      <c r="TS10" s="203"/>
      <c r="TT10" s="203"/>
      <c r="TU10" s="203"/>
      <c r="TV10" s="203"/>
      <c r="TW10" s="203"/>
      <c r="TX10" s="203"/>
      <c r="TY10" s="203"/>
      <c r="TZ10" s="203"/>
      <c r="UA10" s="203"/>
      <c r="UB10" s="203"/>
      <c r="UC10" s="203"/>
      <c r="UD10" s="203"/>
      <c r="UE10" s="203"/>
      <c r="UF10" s="203"/>
      <c r="UG10" s="203"/>
      <c r="UH10" s="203"/>
      <c r="UI10" s="203"/>
      <c r="UJ10" s="203"/>
      <c r="UK10" s="203"/>
      <c r="UL10" s="203"/>
      <c r="UM10" s="203"/>
      <c r="UN10" s="203"/>
      <c r="UO10" s="203"/>
      <c r="UP10" s="203"/>
      <c r="UQ10" s="203"/>
      <c r="UR10" s="203"/>
      <c r="US10" s="203"/>
      <c r="UT10" s="203"/>
      <c r="UU10" s="203"/>
      <c r="UV10" s="203"/>
      <c r="UW10" s="203"/>
      <c r="UX10" s="203"/>
      <c r="UY10" s="203"/>
      <c r="UZ10" s="203"/>
      <c r="VA10" s="203"/>
      <c r="VB10" s="203"/>
      <c r="VC10" s="203"/>
      <c r="VD10" s="203"/>
      <c r="VE10" s="203"/>
      <c r="VF10" s="203"/>
      <c r="VG10" s="203"/>
      <c r="VH10" s="203"/>
      <c r="VI10" s="203"/>
      <c r="VJ10" s="203"/>
      <c r="VK10" s="203"/>
      <c r="VL10" s="203"/>
      <c r="VM10" s="203"/>
      <c r="VN10" s="203"/>
      <c r="VO10" s="203"/>
      <c r="VP10" s="203"/>
      <c r="VQ10" s="203"/>
      <c r="VR10" s="203"/>
      <c r="VS10" s="203"/>
      <c r="VT10" s="203"/>
      <c r="VU10" s="203"/>
    </row>
    <row r="11" spans="1:593" s="117" customFormat="1" ht="29.25" customHeight="1" x14ac:dyDescent="0.15">
      <c r="A11" s="230"/>
      <c r="B11" s="204" t="s">
        <v>308</v>
      </c>
      <c r="C11" s="202" t="s">
        <v>410</v>
      </c>
      <c r="D11" s="205">
        <v>3</v>
      </c>
      <c r="E11" s="205">
        <v>2</v>
      </c>
      <c r="F11" s="205">
        <v>4</v>
      </c>
      <c r="G11" s="205">
        <v>3</v>
      </c>
      <c r="H11" s="205">
        <v>2</v>
      </c>
      <c r="I11" s="205">
        <v>4</v>
      </c>
      <c r="J11" s="205">
        <v>3</v>
      </c>
      <c r="K11" s="205">
        <v>3</v>
      </c>
      <c r="L11" s="205">
        <v>3</v>
      </c>
      <c r="M11" s="205">
        <v>3</v>
      </c>
      <c r="N11" s="205">
        <v>3</v>
      </c>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205"/>
      <c r="BE11" s="205"/>
      <c r="BF11" s="205"/>
      <c r="BG11" s="205"/>
      <c r="BH11" s="205"/>
      <c r="BI11" s="205"/>
      <c r="BJ11" s="205"/>
      <c r="BK11" s="205"/>
      <c r="BL11" s="205"/>
      <c r="BM11" s="205"/>
      <c r="BN11" s="205"/>
      <c r="BO11" s="205"/>
      <c r="BP11" s="205"/>
      <c r="BQ11" s="205"/>
      <c r="BR11" s="205"/>
      <c r="BS11" s="205"/>
      <c r="BT11" s="205"/>
      <c r="BU11" s="205"/>
      <c r="BV11" s="205"/>
      <c r="BW11" s="205"/>
      <c r="BX11" s="205"/>
      <c r="BY11" s="205"/>
      <c r="BZ11" s="205"/>
      <c r="CA11" s="205"/>
      <c r="CB11" s="205"/>
      <c r="CC11" s="205"/>
      <c r="CD11" s="205"/>
      <c r="CE11" s="205"/>
      <c r="CF11" s="205"/>
      <c r="CG11" s="205"/>
      <c r="CH11" s="205"/>
      <c r="CI11" s="205"/>
      <c r="CJ11" s="205"/>
      <c r="CK11" s="205"/>
      <c r="CL11" s="205"/>
      <c r="CM11" s="205"/>
      <c r="CN11" s="205"/>
      <c r="CO11" s="205"/>
      <c r="CP11" s="205"/>
      <c r="CQ11" s="205"/>
      <c r="CR11" s="205"/>
      <c r="CS11" s="205"/>
      <c r="CT11" s="205"/>
      <c r="CU11" s="205"/>
      <c r="CV11" s="205"/>
      <c r="CW11" s="205"/>
      <c r="CX11" s="205"/>
      <c r="CY11" s="205"/>
      <c r="CZ11" s="205"/>
      <c r="DA11" s="205"/>
      <c r="DB11" s="205"/>
      <c r="DC11" s="205"/>
      <c r="DD11" s="205"/>
      <c r="DE11" s="205"/>
      <c r="DF11" s="205"/>
      <c r="DG11" s="205"/>
      <c r="DH11" s="205"/>
      <c r="DI11" s="205"/>
      <c r="DJ11" s="205"/>
      <c r="DK11" s="205"/>
      <c r="DL11" s="205"/>
      <c r="DM11" s="205"/>
      <c r="DN11" s="205"/>
      <c r="DO11" s="205"/>
      <c r="DP11" s="205"/>
      <c r="DQ11" s="205"/>
      <c r="DR11" s="205"/>
      <c r="DS11" s="205"/>
      <c r="DT11" s="205"/>
      <c r="DU11" s="205"/>
      <c r="DV11" s="205"/>
      <c r="DW11" s="205"/>
      <c r="DX11" s="205"/>
      <c r="DY11" s="205"/>
      <c r="DZ11" s="205"/>
      <c r="EA11" s="205"/>
      <c r="EB11" s="205"/>
      <c r="EC11" s="205"/>
      <c r="ED11" s="205"/>
      <c r="EE11" s="205"/>
      <c r="EF11" s="205"/>
      <c r="EG11" s="205"/>
      <c r="EH11" s="205"/>
      <c r="EI11" s="205"/>
      <c r="EJ11" s="205"/>
      <c r="EK11" s="205"/>
      <c r="EL11" s="205"/>
      <c r="EM11" s="205"/>
      <c r="EN11" s="205"/>
      <c r="EO11" s="205"/>
      <c r="EP11" s="205"/>
      <c r="EQ11" s="205"/>
      <c r="ER11" s="205"/>
      <c r="ES11" s="205"/>
      <c r="ET11" s="205"/>
      <c r="EU11" s="205"/>
      <c r="EV11" s="205"/>
      <c r="EW11" s="205"/>
      <c r="EX11" s="205"/>
      <c r="EY11" s="205"/>
      <c r="EZ11" s="205"/>
      <c r="FA11" s="205"/>
      <c r="FB11" s="205"/>
      <c r="FC11" s="205"/>
      <c r="FD11" s="205"/>
      <c r="FE11" s="205"/>
      <c r="FF11" s="205"/>
      <c r="FG11" s="205"/>
      <c r="FH11" s="205"/>
      <c r="FI11" s="205"/>
      <c r="FJ11" s="205"/>
      <c r="FK11" s="205"/>
      <c r="FL11" s="205"/>
      <c r="FM11" s="205"/>
      <c r="FN11" s="205"/>
      <c r="FO11" s="205"/>
      <c r="FP11" s="205"/>
      <c r="FQ11" s="205"/>
      <c r="FR11" s="205"/>
      <c r="FS11" s="205"/>
      <c r="FT11" s="205"/>
      <c r="FU11" s="205"/>
      <c r="FV11" s="205"/>
      <c r="FW11" s="205"/>
      <c r="FX11" s="205"/>
      <c r="FY11" s="205"/>
      <c r="FZ11" s="205"/>
      <c r="GA11" s="205"/>
      <c r="GB11" s="205"/>
      <c r="GC11" s="205"/>
      <c r="GD11" s="205"/>
      <c r="GE11" s="205"/>
      <c r="GF11" s="205"/>
      <c r="GG11" s="205"/>
      <c r="GH11" s="205"/>
      <c r="GI11" s="205"/>
      <c r="GJ11" s="205"/>
      <c r="GK11" s="205"/>
      <c r="GL11" s="205"/>
      <c r="GM11" s="205"/>
      <c r="GN11" s="205"/>
      <c r="GO11" s="205"/>
      <c r="GP11" s="205"/>
      <c r="GQ11" s="205"/>
      <c r="GR11" s="205"/>
      <c r="GS11" s="205"/>
      <c r="GT11" s="205"/>
      <c r="GU11" s="205"/>
      <c r="GV11" s="205"/>
      <c r="GW11" s="205"/>
      <c r="GX11" s="205"/>
      <c r="GY11" s="205"/>
      <c r="GZ11" s="205"/>
      <c r="HA11" s="205"/>
      <c r="HB11" s="205"/>
      <c r="HC11" s="205"/>
      <c r="HD11" s="205"/>
      <c r="HE11" s="205"/>
      <c r="HF11" s="205"/>
      <c r="HG11" s="205"/>
      <c r="HH11" s="205"/>
      <c r="HI11" s="205"/>
      <c r="HJ11" s="205"/>
      <c r="HK11" s="205"/>
      <c r="HL11" s="205"/>
      <c r="HM11" s="205"/>
      <c r="HN11" s="205"/>
      <c r="HO11" s="205"/>
      <c r="HP11" s="205"/>
      <c r="HQ11" s="205"/>
      <c r="HR11" s="205"/>
      <c r="HS11" s="205"/>
      <c r="HT11" s="205"/>
      <c r="HU11" s="205"/>
      <c r="HV11" s="205"/>
      <c r="HW11" s="205"/>
      <c r="HX11" s="205"/>
      <c r="HY11" s="205"/>
      <c r="HZ11" s="205"/>
      <c r="IA11" s="205"/>
      <c r="IB11" s="205"/>
      <c r="IC11" s="205"/>
      <c r="ID11" s="205"/>
      <c r="IE11" s="205"/>
      <c r="IF11" s="205"/>
      <c r="IG11" s="205"/>
      <c r="IH11" s="205"/>
      <c r="II11" s="205"/>
      <c r="IJ11" s="205"/>
      <c r="IK11" s="205"/>
      <c r="IL11" s="205"/>
      <c r="IM11" s="205"/>
      <c r="IN11" s="205"/>
      <c r="IO11" s="205"/>
      <c r="IP11" s="205"/>
      <c r="IQ11" s="205"/>
      <c r="IR11" s="205"/>
      <c r="IS11" s="205"/>
      <c r="IT11" s="205"/>
      <c r="IU11" s="205"/>
      <c r="IV11" s="205"/>
      <c r="IW11" s="205"/>
      <c r="IX11" s="205"/>
      <c r="IY11" s="205"/>
      <c r="IZ11" s="205"/>
      <c r="JA11" s="205"/>
      <c r="JB11" s="205"/>
      <c r="JC11" s="205"/>
      <c r="JD11" s="205"/>
      <c r="JE11" s="205"/>
      <c r="JF11" s="205"/>
      <c r="JG11" s="205"/>
      <c r="JH11" s="205"/>
      <c r="JI11" s="205"/>
      <c r="JJ11" s="205"/>
      <c r="JK11" s="205"/>
      <c r="JL11" s="205"/>
      <c r="JM11" s="205"/>
      <c r="JN11" s="205"/>
      <c r="JO11" s="205"/>
      <c r="JP11" s="205"/>
      <c r="JQ11" s="205"/>
      <c r="JR11" s="205"/>
      <c r="JS11" s="205"/>
      <c r="JT11" s="205"/>
      <c r="JU11" s="205"/>
      <c r="JV11" s="205"/>
      <c r="JW11" s="205"/>
      <c r="JX11" s="205"/>
      <c r="JY11" s="205"/>
      <c r="JZ11" s="205"/>
      <c r="KA11" s="205"/>
      <c r="KB11" s="205"/>
      <c r="KC11" s="205"/>
      <c r="KD11" s="205"/>
      <c r="KE11" s="205"/>
      <c r="KF11" s="205"/>
      <c r="KG11" s="205"/>
      <c r="KH11" s="205"/>
      <c r="KI11" s="205"/>
      <c r="KJ11" s="205"/>
      <c r="KK11" s="205"/>
      <c r="KL11" s="205"/>
      <c r="KM11" s="205"/>
      <c r="KN11" s="205"/>
      <c r="KO11" s="205"/>
      <c r="KP11" s="205"/>
      <c r="KQ11" s="205"/>
      <c r="KR11" s="205"/>
      <c r="KS11" s="205"/>
      <c r="KT11" s="205"/>
      <c r="KU11" s="205"/>
      <c r="KV11" s="205"/>
      <c r="KW11" s="205"/>
      <c r="KX11" s="205"/>
      <c r="KY11" s="205"/>
      <c r="KZ11" s="205"/>
      <c r="LA11" s="205"/>
      <c r="LB11" s="205"/>
      <c r="LC11" s="205"/>
      <c r="LD11" s="205"/>
      <c r="LE11" s="205"/>
      <c r="LF11" s="205"/>
      <c r="LG11" s="205"/>
      <c r="LH11" s="205"/>
      <c r="LI11" s="205"/>
      <c r="LJ11" s="205"/>
      <c r="LK11" s="205"/>
      <c r="LL11" s="205"/>
      <c r="LM11" s="205"/>
      <c r="LN11" s="205"/>
      <c r="LO11" s="205"/>
      <c r="LP11" s="205"/>
      <c r="LQ11" s="205"/>
      <c r="LR11" s="205"/>
      <c r="LS11" s="205"/>
      <c r="LT11" s="205"/>
      <c r="LU11" s="205"/>
      <c r="LV11" s="205"/>
      <c r="LW11" s="205"/>
      <c r="LX11" s="205"/>
      <c r="LY11" s="205"/>
      <c r="LZ11" s="205"/>
      <c r="MA11" s="205"/>
      <c r="MB11" s="205"/>
      <c r="MC11" s="205"/>
      <c r="MD11" s="205"/>
      <c r="ME11" s="205"/>
      <c r="MF11" s="205"/>
      <c r="MG11" s="205"/>
      <c r="MH11" s="205"/>
      <c r="MI11" s="205"/>
      <c r="MJ11" s="205"/>
      <c r="MK11" s="205"/>
      <c r="ML11" s="205"/>
      <c r="MM11" s="205"/>
      <c r="MN11" s="205"/>
      <c r="MO11" s="205"/>
      <c r="MP11" s="205"/>
      <c r="MQ11" s="205"/>
      <c r="MR11" s="205"/>
      <c r="MS11" s="205"/>
      <c r="MT11" s="205"/>
      <c r="MU11" s="205"/>
      <c r="MV11" s="205"/>
      <c r="MW11" s="205"/>
      <c r="MX11" s="205"/>
      <c r="MY11" s="205"/>
      <c r="MZ11" s="205"/>
      <c r="NA11" s="205"/>
      <c r="NB11" s="205"/>
      <c r="NC11" s="205"/>
      <c r="ND11" s="205"/>
      <c r="NE11" s="205"/>
      <c r="NF11" s="205"/>
      <c r="NG11" s="205"/>
      <c r="NH11" s="205"/>
      <c r="NI11" s="205"/>
      <c r="NJ11" s="205"/>
      <c r="NK11" s="205"/>
      <c r="NL11" s="205"/>
      <c r="NM11" s="205"/>
      <c r="NN11" s="205"/>
      <c r="NO11" s="205"/>
      <c r="NP11" s="205"/>
      <c r="NQ11" s="205"/>
      <c r="NR11" s="205"/>
      <c r="NS11" s="205"/>
      <c r="NT11" s="205"/>
      <c r="NU11" s="205"/>
      <c r="NV11" s="205"/>
      <c r="NW11" s="205"/>
      <c r="NX11" s="205"/>
      <c r="NY11" s="205"/>
      <c r="NZ11" s="205"/>
      <c r="OA11" s="205"/>
      <c r="OB11" s="205"/>
      <c r="OC11" s="205"/>
      <c r="OD11" s="205"/>
      <c r="OE11" s="205"/>
      <c r="OF11" s="205"/>
      <c r="OG11" s="205"/>
      <c r="OH11" s="205"/>
      <c r="OI11" s="205"/>
      <c r="OJ11" s="205"/>
      <c r="OK11" s="205"/>
      <c r="OL11" s="205"/>
      <c r="OM11" s="205"/>
      <c r="ON11" s="205"/>
      <c r="OO11" s="205"/>
      <c r="OP11" s="205"/>
      <c r="OQ11" s="205"/>
      <c r="OR11" s="205"/>
      <c r="OS11" s="205"/>
      <c r="OT11" s="205"/>
      <c r="OU11" s="205"/>
      <c r="OV11" s="205"/>
      <c r="OW11" s="205"/>
      <c r="OX11" s="205"/>
      <c r="OY11" s="205"/>
      <c r="OZ11" s="205"/>
      <c r="PA11" s="205"/>
      <c r="PB11" s="205"/>
      <c r="PC11" s="205"/>
      <c r="PD11" s="205"/>
      <c r="PE11" s="205"/>
      <c r="PF11" s="205"/>
      <c r="PG11" s="205"/>
      <c r="PH11" s="205"/>
      <c r="PI11" s="205"/>
      <c r="PJ11" s="205"/>
      <c r="PK11" s="205"/>
      <c r="PL11" s="205"/>
      <c r="PM11" s="205"/>
      <c r="PN11" s="205"/>
      <c r="PO11" s="205"/>
      <c r="PP11" s="205"/>
      <c r="PQ11" s="205"/>
      <c r="PR11" s="205"/>
      <c r="PS11" s="205"/>
      <c r="PT11" s="205"/>
      <c r="PU11" s="205"/>
      <c r="PV11" s="205"/>
      <c r="PW11" s="205"/>
      <c r="PX11" s="205"/>
      <c r="PY11" s="205"/>
      <c r="PZ11" s="205"/>
      <c r="QA11" s="205"/>
      <c r="QB11" s="205"/>
      <c r="QC11" s="205"/>
      <c r="QD11" s="205"/>
      <c r="QE11" s="205"/>
      <c r="QF11" s="205"/>
      <c r="QG11" s="205"/>
      <c r="QH11" s="205"/>
      <c r="QI11" s="205"/>
      <c r="QJ11" s="205"/>
      <c r="QK11" s="205"/>
      <c r="QL11" s="205"/>
      <c r="QM11" s="205"/>
      <c r="QN11" s="205"/>
      <c r="QO11" s="205"/>
      <c r="QP11" s="205"/>
      <c r="QQ11" s="205"/>
      <c r="QR11" s="205"/>
      <c r="QS11" s="205"/>
      <c r="QT11" s="205"/>
      <c r="QU11" s="205"/>
      <c r="QV11" s="205"/>
      <c r="QW11" s="205"/>
      <c r="QX11" s="205"/>
      <c r="QY11" s="205"/>
      <c r="QZ11" s="205"/>
      <c r="RA11" s="205"/>
      <c r="RB11" s="205"/>
      <c r="RC11" s="205"/>
      <c r="RD11" s="205"/>
      <c r="RE11" s="205"/>
      <c r="RF11" s="205"/>
      <c r="RG11" s="205"/>
      <c r="RH11" s="205"/>
      <c r="RI11" s="205"/>
      <c r="RJ11" s="205"/>
      <c r="RK11" s="205"/>
      <c r="RL11" s="205"/>
      <c r="RM11" s="205"/>
      <c r="RN11" s="205"/>
      <c r="RO11" s="205"/>
      <c r="RP11" s="205"/>
      <c r="RQ11" s="205"/>
      <c r="RR11" s="205"/>
      <c r="RS11" s="205"/>
      <c r="RT11" s="205"/>
      <c r="RU11" s="205"/>
      <c r="RV11" s="205"/>
      <c r="RW11" s="205"/>
      <c r="RX11" s="205"/>
      <c r="RY11" s="205"/>
      <c r="RZ11" s="205"/>
      <c r="SA11" s="205"/>
      <c r="SB11" s="205"/>
      <c r="SC11" s="205"/>
      <c r="SD11" s="205"/>
      <c r="SE11" s="205"/>
      <c r="SF11" s="205"/>
      <c r="SG11" s="205"/>
      <c r="SH11" s="205"/>
      <c r="SI11" s="205"/>
      <c r="SJ11" s="205"/>
      <c r="SK11" s="205"/>
      <c r="SL11" s="205"/>
      <c r="SM11" s="205"/>
      <c r="SN11" s="205"/>
      <c r="SO11" s="205"/>
      <c r="SP11" s="205"/>
      <c r="SQ11" s="205"/>
      <c r="SR11" s="205"/>
      <c r="SS11" s="205"/>
      <c r="ST11" s="205"/>
      <c r="SU11" s="205"/>
      <c r="SV11" s="205"/>
      <c r="SW11" s="205"/>
      <c r="SX11" s="205"/>
      <c r="SY11" s="205"/>
      <c r="SZ11" s="205"/>
      <c r="TA11" s="205"/>
      <c r="TB11" s="205"/>
      <c r="TC11" s="205"/>
      <c r="TD11" s="205"/>
      <c r="TE11" s="205"/>
      <c r="TF11" s="205"/>
      <c r="TG11" s="205"/>
      <c r="TH11" s="205"/>
      <c r="TI11" s="205"/>
      <c r="TJ11" s="205"/>
      <c r="TK11" s="205"/>
      <c r="TL11" s="205"/>
      <c r="TM11" s="205"/>
      <c r="TN11" s="205"/>
      <c r="TO11" s="205"/>
      <c r="TP11" s="205"/>
      <c r="TQ11" s="205"/>
      <c r="TR11" s="205"/>
      <c r="TS11" s="205"/>
      <c r="TT11" s="205"/>
      <c r="TU11" s="205"/>
      <c r="TV11" s="205"/>
      <c r="TW11" s="205"/>
      <c r="TX11" s="205"/>
      <c r="TY11" s="205"/>
      <c r="TZ11" s="205"/>
      <c r="UA11" s="205"/>
      <c r="UB11" s="205"/>
      <c r="UC11" s="205"/>
      <c r="UD11" s="205"/>
      <c r="UE11" s="205"/>
      <c r="UF11" s="205"/>
      <c r="UG11" s="205"/>
      <c r="UH11" s="205"/>
      <c r="UI11" s="205"/>
      <c r="UJ11" s="205"/>
      <c r="UK11" s="205"/>
      <c r="UL11" s="205"/>
      <c r="UM11" s="205"/>
      <c r="UN11" s="205"/>
      <c r="UO11" s="205"/>
      <c r="UP11" s="205"/>
      <c r="UQ11" s="205"/>
      <c r="UR11" s="205"/>
      <c r="US11" s="205"/>
      <c r="UT11" s="205"/>
      <c r="UU11" s="205"/>
      <c r="UV11" s="205"/>
      <c r="UW11" s="205"/>
      <c r="UX11" s="205"/>
      <c r="UY11" s="205"/>
      <c r="UZ11" s="205"/>
      <c r="VA11" s="205"/>
      <c r="VB11" s="205"/>
      <c r="VC11" s="205"/>
      <c r="VD11" s="205"/>
      <c r="VE11" s="205"/>
      <c r="VF11" s="205"/>
      <c r="VG11" s="205"/>
      <c r="VH11" s="205"/>
      <c r="VI11" s="205"/>
      <c r="VJ11" s="205"/>
      <c r="VK11" s="205"/>
      <c r="VL11" s="205"/>
      <c r="VM11" s="205"/>
      <c r="VN11" s="205"/>
      <c r="VO11" s="205"/>
      <c r="VP11" s="205"/>
      <c r="VQ11" s="205"/>
      <c r="VR11" s="205"/>
      <c r="VS11" s="205"/>
      <c r="VT11" s="205"/>
      <c r="VU11" s="205"/>
    </row>
    <row r="12" spans="1:593" s="117" customFormat="1" ht="15.75" customHeight="1" x14ac:dyDescent="0.15">
      <c r="A12" s="231" t="s">
        <v>407</v>
      </c>
      <c r="B12" s="206" t="s">
        <v>310</v>
      </c>
      <c r="C12" s="207" t="s">
        <v>410</v>
      </c>
      <c r="D12" s="208">
        <v>4</v>
      </c>
      <c r="E12" s="208">
        <v>4</v>
      </c>
      <c r="F12" s="208">
        <v>3</v>
      </c>
      <c r="G12" s="208">
        <v>2</v>
      </c>
      <c r="H12" s="208">
        <v>3</v>
      </c>
      <c r="I12" s="208">
        <v>1</v>
      </c>
      <c r="J12" s="208">
        <v>4</v>
      </c>
      <c r="K12" s="208">
        <v>4</v>
      </c>
      <c r="L12" s="208">
        <v>4</v>
      </c>
      <c r="M12" s="208">
        <v>3</v>
      </c>
      <c r="N12" s="208">
        <v>3</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c r="CY12" s="208"/>
      <c r="CZ12" s="208"/>
      <c r="DA12" s="208"/>
      <c r="DB12" s="208"/>
      <c r="DC12" s="208"/>
      <c r="DD12" s="208"/>
      <c r="DE12" s="208"/>
      <c r="DF12" s="208"/>
      <c r="DG12" s="208"/>
      <c r="DH12" s="208"/>
      <c r="DI12" s="208"/>
      <c r="DJ12" s="208"/>
      <c r="DK12" s="208"/>
      <c r="DL12" s="208"/>
      <c r="DM12" s="208"/>
      <c r="DN12" s="208"/>
      <c r="DO12" s="208"/>
      <c r="DP12" s="208"/>
      <c r="DQ12" s="208"/>
      <c r="DR12" s="208"/>
      <c r="DS12" s="208"/>
      <c r="DT12" s="208"/>
      <c r="DU12" s="208"/>
      <c r="DV12" s="208"/>
      <c r="DW12" s="208"/>
      <c r="DX12" s="208"/>
      <c r="DY12" s="208"/>
      <c r="DZ12" s="208"/>
      <c r="EA12" s="208"/>
      <c r="EB12" s="208"/>
      <c r="EC12" s="208"/>
      <c r="ED12" s="208"/>
      <c r="EE12" s="208"/>
      <c r="EF12" s="208"/>
      <c r="EG12" s="208"/>
      <c r="EH12" s="208"/>
      <c r="EI12" s="208"/>
      <c r="EJ12" s="208"/>
      <c r="EK12" s="208"/>
      <c r="EL12" s="208"/>
      <c r="EM12" s="208"/>
      <c r="EN12" s="208"/>
      <c r="EO12" s="208"/>
      <c r="EP12" s="208"/>
      <c r="EQ12" s="208"/>
      <c r="ER12" s="208"/>
      <c r="ES12" s="208"/>
      <c r="ET12" s="208"/>
      <c r="EU12" s="208"/>
      <c r="EV12" s="208"/>
      <c r="EW12" s="208"/>
      <c r="EX12" s="208"/>
      <c r="EY12" s="208"/>
      <c r="EZ12" s="208"/>
      <c r="FA12" s="208"/>
      <c r="FB12" s="208"/>
      <c r="FC12" s="208"/>
      <c r="FD12" s="208"/>
      <c r="FE12" s="208"/>
      <c r="FF12" s="208"/>
      <c r="FG12" s="208"/>
      <c r="FH12" s="208"/>
      <c r="FI12" s="208"/>
      <c r="FJ12" s="208"/>
      <c r="FK12" s="208"/>
      <c r="FL12" s="208"/>
      <c r="FM12" s="208"/>
      <c r="FN12" s="208"/>
      <c r="FO12" s="208"/>
      <c r="FP12" s="208"/>
      <c r="FQ12" s="208"/>
      <c r="FR12" s="208"/>
      <c r="FS12" s="208"/>
      <c r="FT12" s="208"/>
      <c r="FU12" s="208"/>
      <c r="FV12" s="208"/>
      <c r="FW12" s="208"/>
      <c r="FX12" s="208"/>
      <c r="FY12" s="208"/>
      <c r="FZ12" s="208"/>
      <c r="GA12" s="208"/>
      <c r="GB12" s="208"/>
      <c r="GC12" s="208"/>
      <c r="GD12" s="208"/>
      <c r="GE12" s="208"/>
      <c r="GF12" s="208"/>
      <c r="GG12" s="208"/>
      <c r="GH12" s="208"/>
      <c r="GI12" s="208"/>
      <c r="GJ12" s="208"/>
      <c r="GK12" s="208"/>
      <c r="GL12" s="208"/>
      <c r="GM12" s="208"/>
      <c r="GN12" s="208"/>
      <c r="GO12" s="208"/>
      <c r="GP12" s="208"/>
      <c r="GQ12" s="208"/>
      <c r="GR12" s="208"/>
      <c r="GS12" s="208"/>
      <c r="GT12" s="208"/>
      <c r="GU12" s="208"/>
      <c r="GV12" s="208"/>
      <c r="GW12" s="208"/>
      <c r="GX12" s="208"/>
      <c r="GY12" s="208"/>
      <c r="GZ12" s="208"/>
      <c r="HA12" s="208"/>
      <c r="HB12" s="208"/>
      <c r="HC12" s="208"/>
      <c r="HD12" s="208"/>
      <c r="HE12" s="208"/>
      <c r="HF12" s="208"/>
      <c r="HG12" s="208"/>
      <c r="HH12" s="208"/>
      <c r="HI12" s="208"/>
      <c r="HJ12" s="208"/>
      <c r="HK12" s="208"/>
      <c r="HL12" s="208"/>
      <c r="HM12" s="208"/>
      <c r="HN12" s="208"/>
      <c r="HO12" s="208"/>
      <c r="HP12" s="208"/>
      <c r="HQ12" s="208"/>
      <c r="HR12" s="208"/>
      <c r="HS12" s="208"/>
      <c r="HT12" s="208"/>
      <c r="HU12" s="208"/>
      <c r="HV12" s="208"/>
      <c r="HW12" s="208"/>
      <c r="HX12" s="208"/>
      <c r="HY12" s="208"/>
      <c r="HZ12" s="208"/>
      <c r="IA12" s="208"/>
      <c r="IB12" s="208"/>
      <c r="IC12" s="208"/>
      <c r="ID12" s="208"/>
      <c r="IE12" s="208"/>
      <c r="IF12" s="208"/>
      <c r="IG12" s="208"/>
      <c r="IH12" s="208"/>
      <c r="II12" s="208"/>
      <c r="IJ12" s="208"/>
      <c r="IK12" s="208"/>
      <c r="IL12" s="208"/>
      <c r="IM12" s="208"/>
      <c r="IN12" s="208"/>
      <c r="IO12" s="208"/>
      <c r="IP12" s="208"/>
      <c r="IQ12" s="208"/>
      <c r="IR12" s="208"/>
      <c r="IS12" s="208"/>
      <c r="IT12" s="208"/>
      <c r="IU12" s="208"/>
      <c r="IV12" s="208"/>
      <c r="IW12" s="208"/>
      <c r="IX12" s="208"/>
      <c r="IY12" s="208"/>
      <c r="IZ12" s="208"/>
      <c r="JA12" s="208"/>
      <c r="JB12" s="208"/>
      <c r="JC12" s="208"/>
      <c r="JD12" s="208"/>
      <c r="JE12" s="208"/>
      <c r="JF12" s="208"/>
      <c r="JG12" s="208"/>
      <c r="JH12" s="208"/>
      <c r="JI12" s="208"/>
      <c r="JJ12" s="208"/>
      <c r="JK12" s="208"/>
      <c r="JL12" s="208"/>
      <c r="JM12" s="208"/>
      <c r="JN12" s="208"/>
      <c r="JO12" s="208"/>
      <c r="JP12" s="208"/>
      <c r="JQ12" s="208"/>
      <c r="JR12" s="208"/>
      <c r="JS12" s="208"/>
      <c r="JT12" s="208"/>
      <c r="JU12" s="208"/>
      <c r="JV12" s="208"/>
      <c r="JW12" s="208"/>
      <c r="JX12" s="208"/>
      <c r="JY12" s="208"/>
      <c r="JZ12" s="208"/>
      <c r="KA12" s="208"/>
      <c r="KB12" s="208"/>
      <c r="KC12" s="208"/>
      <c r="KD12" s="208"/>
      <c r="KE12" s="208"/>
      <c r="KF12" s="208"/>
      <c r="KG12" s="208"/>
      <c r="KH12" s="208"/>
      <c r="KI12" s="208"/>
      <c r="KJ12" s="208"/>
      <c r="KK12" s="208"/>
      <c r="KL12" s="208"/>
      <c r="KM12" s="208"/>
      <c r="KN12" s="208"/>
      <c r="KO12" s="208"/>
      <c r="KP12" s="208"/>
      <c r="KQ12" s="208"/>
      <c r="KR12" s="208"/>
      <c r="KS12" s="208"/>
      <c r="KT12" s="208"/>
      <c r="KU12" s="208"/>
      <c r="KV12" s="208"/>
      <c r="KW12" s="208"/>
      <c r="KX12" s="208"/>
      <c r="KY12" s="208"/>
      <c r="KZ12" s="208"/>
      <c r="LA12" s="208"/>
      <c r="LB12" s="208"/>
      <c r="LC12" s="208"/>
      <c r="LD12" s="208"/>
      <c r="LE12" s="208"/>
      <c r="LF12" s="208"/>
      <c r="LG12" s="208"/>
      <c r="LH12" s="208"/>
      <c r="LI12" s="208"/>
      <c r="LJ12" s="208"/>
      <c r="LK12" s="208"/>
      <c r="LL12" s="208"/>
      <c r="LM12" s="208"/>
      <c r="LN12" s="208"/>
      <c r="LO12" s="208"/>
      <c r="LP12" s="208"/>
      <c r="LQ12" s="208"/>
      <c r="LR12" s="208"/>
      <c r="LS12" s="208"/>
      <c r="LT12" s="208"/>
      <c r="LU12" s="208"/>
      <c r="LV12" s="208"/>
      <c r="LW12" s="208"/>
      <c r="LX12" s="208"/>
      <c r="LY12" s="208"/>
      <c r="LZ12" s="208"/>
      <c r="MA12" s="208"/>
      <c r="MB12" s="208"/>
      <c r="MC12" s="208"/>
      <c r="MD12" s="208"/>
      <c r="ME12" s="208"/>
      <c r="MF12" s="208"/>
      <c r="MG12" s="208"/>
      <c r="MH12" s="208"/>
      <c r="MI12" s="208"/>
      <c r="MJ12" s="208"/>
      <c r="MK12" s="208"/>
      <c r="ML12" s="208"/>
      <c r="MM12" s="208"/>
      <c r="MN12" s="208"/>
      <c r="MO12" s="208"/>
      <c r="MP12" s="208"/>
      <c r="MQ12" s="208"/>
      <c r="MR12" s="208"/>
      <c r="MS12" s="208"/>
      <c r="MT12" s="208"/>
      <c r="MU12" s="208"/>
      <c r="MV12" s="208"/>
      <c r="MW12" s="208"/>
      <c r="MX12" s="208"/>
      <c r="MY12" s="208"/>
      <c r="MZ12" s="208"/>
      <c r="NA12" s="208"/>
      <c r="NB12" s="208"/>
      <c r="NC12" s="208"/>
      <c r="ND12" s="208"/>
      <c r="NE12" s="208"/>
      <c r="NF12" s="208"/>
      <c r="NG12" s="208"/>
      <c r="NH12" s="208"/>
      <c r="NI12" s="208"/>
      <c r="NJ12" s="208"/>
      <c r="NK12" s="208"/>
      <c r="NL12" s="208"/>
      <c r="NM12" s="208"/>
      <c r="NN12" s="208"/>
      <c r="NO12" s="208"/>
      <c r="NP12" s="208"/>
      <c r="NQ12" s="208"/>
      <c r="NR12" s="208"/>
      <c r="NS12" s="208"/>
      <c r="NT12" s="208"/>
      <c r="NU12" s="208"/>
      <c r="NV12" s="208"/>
      <c r="NW12" s="208"/>
      <c r="NX12" s="208"/>
      <c r="NY12" s="208"/>
      <c r="NZ12" s="208"/>
      <c r="OA12" s="208"/>
      <c r="OB12" s="208"/>
      <c r="OC12" s="208"/>
      <c r="OD12" s="208"/>
      <c r="OE12" s="208"/>
      <c r="OF12" s="208"/>
      <c r="OG12" s="208"/>
      <c r="OH12" s="208"/>
      <c r="OI12" s="208"/>
      <c r="OJ12" s="208"/>
      <c r="OK12" s="208"/>
      <c r="OL12" s="208"/>
      <c r="OM12" s="208"/>
      <c r="ON12" s="208"/>
      <c r="OO12" s="208"/>
      <c r="OP12" s="208"/>
      <c r="OQ12" s="208"/>
      <c r="OR12" s="208"/>
      <c r="OS12" s="208"/>
      <c r="OT12" s="208"/>
      <c r="OU12" s="208"/>
      <c r="OV12" s="208"/>
      <c r="OW12" s="208"/>
      <c r="OX12" s="208"/>
      <c r="OY12" s="208"/>
      <c r="OZ12" s="208"/>
      <c r="PA12" s="208"/>
      <c r="PB12" s="208"/>
      <c r="PC12" s="208"/>
      <c r="PD12" s="208"/>
      <c r="PE12" s="208"/>
      <c r="PF12" s="208"/>
      <c r="PG12" s="208"/>
      <c r="PH12" s="208"/>
      <c r="PI12" s="208"/>
      <c r="PJ12" s="208"/>
      <c r="PK12" s="208"/>
      <c r="PL12" s="208"/>
      <c r="PM12" s="208"/>
      <c r="PN12" s="208"/>
      <c r="PO12" s="208"/>
      <c r="PP12" s="208"/>
      <c r="PQ12" s="208"/>
      <c r="PR12" s="208"/>
      <c r="PS12" s="208"/>
      <c r="PT12" s="208"/>
      <c r="PU12" s="208"/>
      <c r="PV12" s="208"/>
      <c r="PW12" s="208"/>
      <c r="PX12" s="208"/>
      <c r="PY12" s="208"/>
      <c r="PZ12" s="208"/>
      <c r="QA12" s="208"/>
      <c r="QB12" s="208"/>
      <c r="QC12" s="208"/>
      <c r="QD12" s="208"/>
      <c r="QE12" s="208"/>
      <c r="QF12" s="208"/>
      <c r="QG12" s="208"/>
      <c r="QH12" s="208"/>
      <c r="QI12" s="208"/>
      <c r="QJ12" s="208"/>
      <c r="QK12" s="208"/>
      <c r="QL12" s="208"/>
      <c r="QM12" s="208"/>
      <c r="QN12" s="208"/>
      <c r="QO12" s="208"/>
      <c r="QP12" s="208"/>
      <c r="QQ12" s="208"/>
      <c r="QR12" s="208"/>
      <c r="QS12" s="208"/>
      <c r="QT12" s="208"/>
      <c r="QU12" s="208"/>
      <c r="QV12" s="208"/>
      <c r="QW12" s="208"/>
      <c r="QX12" s="208"/>
      <c r="QY12" s="208"/>
      <c r="QZ12" s="208"/>
      <c r="RA12" s="208"/>
      <c r="RB12" s="208"/>
      <c r="RC12" s="208"/>
      <c r="RD12" s="208"/>
      <c r="RE12" s="208"/>
      <c r="RF12" s="208"/>
      <c r="RG12" s="208"/>
      <c r="RH12" s="208"/>
      <c r="RI12" s="208"/>
      <c r="RJ12" s="208"/>
      <c r="RK12" s="208"/>
      <c r="RL12" s="208"/>
      <c r="RM12" s="208"/>
      <c r="RN12" s="208"/>
      <c r="RO12" s="208"/>
      <c r="RP12" s="208"/>
      <c r="RQ12" s="208"/>
      <c r="RR12" s="208"/>
      <c r="RS12" s="208"/>
      <c r="RT12" s="208"/>
      <c r="RU12" s="208"/>
      <c r="RV12" s="208"/>
      <c r="RW12" s="208"/>
      <c r="RX12" s="208"/>
      <c r="RY12" s="208"/>
      <c r="RZ12" s="208"/>
      <c r="SA12" s="208"/>
      <c r="SB12" s="208"/>
      <c r="SC12" s="208"/>
      <c r="SD12" s="208"/>
      <c r="SE12" s="208"/>
      <c r="SF12" s="208"/>
      <c r="SG12" s="208"/>
      <c r="SH12" s="208"/>
      <c r="SI12" s="208"/>
      <c r="SJ12" s="208"/>
      <c r="SK12" s="208"/>
      <c r="SL12" s="208"/>
      <c r="SM12" s="208"/>
      <c r="SN12" s="208"/>
      <c r="SO12" s="208"/>
      <c r="SP12" s="208"/>
      <c r="SQ12" s="208"/>
      <c r="SR12" s="208"/>
      <c r="SS12" s="208"/>
      <c r="ST12" s="208"/>
      <c r="SU12" s="208"/>
      <c r="SV12" s="208"/>
      <c r="SW12" s="208"/>
      <c r="SX12" s="208"/>
      <c r="SY12" s="208"/>
      <c r="SZ12" s="208"/>
      <c r="TA12" s="208"/>
      <c r="TB12" s="208"/>
      <c r="TC12" s="208"/>
      <c r="TD12" s="208"/>
      <c r="TE12" s="208"/>
      <c r="TF12" s="208"/>
      <c r="TG12" s="208"/>
      <c r="TH12" s="208"/>
      <c r="TI12" s="208"/>
      <c r="TJ12" s="208"/>
      <c r="TK12" s="208"/>
      <c r="TL12" s="208"/>
      <c r="TM12" s="208"/>
      <c r="TN12" s="208"/>
      <c r="TO12" s="208"/>
      <c r="TP12" s="208"/>
      <c r="TQ12" s="208"/>
      <c r="TR12" s="208"/>
      <c r="TS12" s="208"/>
      <c r="TT12" s="208"/>
      <c r="TU12" s="208"/>
      <c r="TV12" s="208"/>
      <c r="TW12" s="208"/>
      <c r="TX12" s="208"/>
      <c r="TY12" s="208"/>
      <c r="TZ12" s="208"/>
      <c r="UA12" s="208"/>
      <c r="UB12" s="208"/>
      <c r="UC12" s="208"/>
      <c r="UD12" s="208"/>
      <c r="UE12" s="208"/>
      <c r="UF12" s="208"/>
      <c r="UG12" s="208"/>
      <c r="UH12" s="208"/>
      <c r="UI12" s="208"/>
      <c r="UJ12" s="208"/>
      <c r="UK12" s="208"/>
      <c r="UL12" s="208"/>
      <c r="UM12" s="208"/>
      <c r="UN12" s="208"/>
      <c r="UO12" s="208"/>
      <c r="UP12" s="208"/>
      <c r="UQ12" s="208"/>
      <c r="UR12" s="208"/>
      <c r="US12" s="208"/>
      <c r="UT12" s="208"/>
      <c r="UU12" s="208"/>
      <c r="UV12" s="208"/>
      <c r="UW12" s="208"/>
      <c r="UX12" s="208"/>
      <c r="UY12" s="208"/>
      <c r="UZ12" s="208"/>
      <c r="VA12" s="208"/>
      <c r="VB12" s="208"/>
      <c r="VC12" s="208"/>
      <c r="VD12" s="208"/>
      <c r="VE12" s="208"/>
      <c r="VF12" s="208"/>
      <c r="VG12" s="208"/>
      <c r="VH12" s="208"/>
      <c r="VI12" s="208"/>
      <c r="VJ12" s="208"/>
      <c r="VK12" s="208"/>
      <c r="VL12" s="208"/>
      <c r="VM12" s="208"/>
      <c r="VN12" s="208"/>
      <c r="VO12" s="208"/>
      <c r="VP12" s="208"/>
      <c r="VQ12" s="208"/>
      <c r="VR12" s="208"/>
      <c r="VS12" s="208"/>
      <c r="VT12" s="208"/>
      <c r="VU12" s="208"/>
    </row>
    <row r="13" spans="1:593" s="117" customFormat="1" ht="30.75" customHeight="1" x14ac:dyDescent="0.15">
      <c r="A13" s="231"/>
      <c r="B13" s="209" t="s">
        <v>311</v>
      </c>
      <c r="C13" s="210" t="s">
        <v>410</v>
      </c>
      <c r="D13" s="211">
        <v>3</v>
      </c>
      <c r="E13" s="211">
        <v>4</v>
      </c>
      <c r="F13" s="211">
        <v>4</v>
      </c>
      <c r="G13" s="211">
        <v>3</v>
      </c>
      <c r="H13" s="211">
        <v>4</v>
      </c>
      <c r="I13" s="211">
        <v>2</v>
      </c>
      <c r="J13" s="211">
        <v>3</v>
      </c>
      <c r="K13" s="211">
        <v>3</v>
      </c>
      <c r="L13" s="211">
        <v>3</v>
      </c>
      <c r="M13" s="211">
        <v>3</v>
      </c>
      <c r="N13" s="211">
        <v>4</v>
      </c>
      <c r="O13" s="211"/>
      <c r="P13" s="211"/>
      <c r="Q13" s="211"/>
      <c r="R13" s="211"/>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211"/>
      <c r="AZ13" s="211"/>
      <c r="BA13" s="211"/>
      <c r="BB13" s="211"/>
      <c r="BC13" s="211"/>
      <c r="BD13" s="211"/>
      <c r="BE13" s="211"/>
      <c r="BF13" s="211"/>
      <c r="BG13" s="211"/>
      <c r="BH13" s="211"/>
      <c r="BI13" s="211"/>
      <c r="BJ13" s="211"/>
      <c r="BK13" s="211"/>
      <c r="BL13" s="211"/>
      <c r="BM13" s="211"/>
      <c r="BN13" s="211"/>
      <c r="BO13" s="211"/>
      <c r="BP13" s="211"/>
      <c r="BQ13" s="211"/>
      <c r="BR13" s="211"/>
      <c r="BS13" s="211"/>
      <c r="BT13" s="211"/>
      <c r="BU13" s="211"/>
      <c r="BV13" s="211"/>
      <c r="BW13" s="211"/>
      <c r="BX13" s="211"/>
      <c r="BY13" s="211"/>
      <c r="BZ13" s="211"/>
      <c r="CA13" s="211"/>
      <c r="CB13" s="211"/>
      <c r="CC13" s="211"/>
      <c r="CD13" s="211"/>
      <c r="CE13" s="211"/>
      <c r="CF13" s="211"/>
      <c r="CG13" s="211"/>
      <c r="CH13" s="211"/>
      <c r="CI13" s="211"/>
      <c r="CJ13" s="211"/>
      <c r="CK13" s="211"/>
      <c r="CL13" s="211"/>
      <c r="CM13" s="211"/>
      <c r="CN13" s="211"/>
      <c r="CO13" s="211"/>
      <c r="CP13" s="211"/>
      <c r="CQ13" s="211"/>
      <c r="CR13" s="211"/>
      <c r="CS13" s="211"/>
      <c r="CT13" s="211"/>
      <c r="CU13" s="211"/>
      <c r="CV13" s="211"/>
      <c r="CW13" s="211"/>
      <c r="CX13" s="211"/>
      <c r="CY13" s="211"/>
      <c r="CZ13" s="211"/>
      <c r="DA13" s="211"/>
      <c r="DB13" s="211"/>
      <c r="DC13" s="211"/>
      <c r="DD13" s="211"/>
      <c r="DE13" s="211"/>
      <c r="DF13" s="211"/>
      <c r="DG13" s="211"/>
      <c r="DH13" s="211"/>
      <c r="DI13" s="211"/>
      <c r="DJ13" s="211"/>
      <c r="DK13" s="211"/>
      <c r="DL13" s="211"/>
      <c r="DM13" s="211"/>
      <c r="DN13" s="211"/>
      <c r="DO13" s="211"/>
      <c r="DP13" s="211"/>
      <c r="DQ13" s="211"/>
      <c r="DR13" s="211"/>
      <c r="DS13" s="211"/>
      <c r="DT13" s="211"/>
      <c r="DU13" s="211"/>
      <c r="DV13" s="211"/>
      <c r="DW13" s="211"/>
      <c r="DX13" s="211"/>
      <c r="DY13" s="211"/>
      <c r="DZ13" s="211"/>
      <c r="EA13" s="211"/>
      <c r="EB13" s="211"/>
      <c r="EC13" s="211"/>
      <c r="ED13" s="211"/>
      <c r="EE13" s="211"/>
      <c r="EF13" s="211"/>
      <c r="EG13" s="211"/>
      <c r="EH13" s="211"/>
      <c r="EI13" s="211"/>
      <c r="EJ13" s="211"/>
      <c r="EK13" s="211"/>
      <c r="EL13" s="211"/>
      <c r="EM13" s="211"/>
      <c r="EN13" s="211"/>
      <c r="EO13" s="211"/>
      <c r="EP13" s="211"/>
      <c r="EQ13" s="211"/>
      <c r="ER13" s="211"/>
      <c r="ES13" s="211"/>
      <c r="ET13" s="211"/>
      <c r="EU13" s="211"/>
      <c r="EV13" s="211"/>
      <c r="EW13" s="211"/>
      <c r="EX13" s="211"/>
      <c r="EY13" s="211"/>
      <c r="EZ13" s="211"/>
      <c r="FA13" s="211"/>
      <c r="FB13" s="211"/>
      <c r="FC13" s="211"/>
      <c r="FD13" s="211"/>
      <c r="FE13" s="211"/>
      <c r="FF13" s="211"/>
      <c r="FG13" s="211"/>
      <c r="FH13" s="211"/>
      <c r="FI13" s="211"/>
      <c r="FJ13" s="211"/>
      <c r="FK13" s="211"/>
      <c r="FL13" s="211"/>
      <c r="FM13" s="211"/>
      <c r="FN13" s="211"/>
      <c r="FO13" s="211"/>
      <c r="FP13" s="211"/>
      <c r="FQ13" s="211"/>
      <c r="FR13" s="211"/>
      <c r="FS13" s="211"/>
      <c r="FT13" s="211"/>
      <c r="FU13" s="211"/>
      <c r="FV13" s="211"/>
      <c r="FW13" s="211"/>
      <c r="FX13" s="211"/>
      <c r="FY13" s="211"/>
      <c r="FZ13" s="211"/>
      <c r="GA13" s="211"/>
      <c r="GB13" s="211"/>
      <c r="GC13" s="211"/>
      <c r="GD13" s="211"/>
      <c r="GE13" s="211"/>
      <c r="GF13" s="211"/>
      <c r="GG13" s="211"/>
      <c r="GH13" s="211"/>
      <c r="GI13" s="211"/>
      <c r="GJ13" s="211"/>
      <c r="GK13" s="211"/>
      <c r="GL13" s="211"/>
      <c r="GM13" s="211"/>
      <c r="GN13" s="211"/>
      <c r="GO13" s="211"/>
      <c r="GP13" s="211"/>
      <c r="GQ13" s="211"/>
      <c r="GR13" s="211"/>
      <c r="GS13" s="211"/>
      <c r="GT13" s="211"/>
      <c r="GU13" s="211"/>
      <c r="GV13" s="211"/>
      <c r="GW13" s="211"/>
      <c r="GX13" s="211"/>
      <c r="GY13" s="211"/>
      <c r="GZ13" s="211"/>
      <c r="HA13" s="211"/>
      <c r="HB13" s="211"/>
      <c r="HC13" s="211"/>
      <c r="HD13" s="211"/>
      <c r="HE13" s="211"/>
      <c r="HF13" s="211"/>
      <c r="HG13" s="211"/>
      <c r="HH13" s="211"/>
      <c r="HI13" s="211"/>
      <c r="HJ13" s="211"/>
      <c r="HK13" s="211"/>
      <c r="HL13" s="211"/>
      <c r="HM13" s="211"/>
      <c r="HN13" s="211"/>
      <c r="HO13" s="211"/>
      <c r="HP13" s="211"/>
      <c r="HQ13" s="211"/>
      <c r="HR13" s="211"/>
      <c r="HS13" s="211"/>
      <c r="HT13" s="211"/>
      <c r="HU13" s="211"/>
      <c r="HV13" s="211"/>
      <c r="HW13" s="211"/>
      <c r="HX13" s="211"/>
      <c r="HY13" s="211"/>
      <c r="HZ13" s="211"/>
      <c r="IA13" s="211"/>
      <c r="IB13" s="211"/>
      <c r="IC13" s="211"/>
      <c r="ID13" s="211"/>
      <c r="IE13" s="211"/>
      <c r="IF13" s="211"/>
      <c r="IG13" s="211"/>
      <c r="IH13" s="211"/>
      <c r="II13" s="211"/>
      <c r="IJ13" s="211"/>
      <c r="IK13" s="211"/>
      <c r="IL13" s="211"/>
      <c r="IM13" s="211"/>
      <c r="IN13" s="211"/>
      <c r="IO13" s="211"/>
      <c r="IP13" s="211"/>
      <c r="IQ13" s="211"/>
      <c r="IR13" s="211"/>
      <c r="IS13" s="211"/>
      <c r="IT13" s="211"/>
      <c r="IU13" s="211"/>
      <c r="IV13" s="211"/>
      <c r="IW13" s="211"/>
      <c r="IX13" s="211"/>
      <c r="IY13" s="211"/>
      <c r="IZ13" s="211"/>
      <c r="JA13" s="211"/>
      <c r="JB13" s="211"/>
      <c r="JC13" s="211"/>
      <c r="JD13" s="211"/>
      <c r="JE13" s="211"/>
      <c r="JF13" s="211"/>
      <c r="JG13" s="211"/>
      <c r="JH13" s="211"/>
      <c r="JI13" s="211"/>
      <c r="JJ13" s="211"/>
      <c r="JK13" s="211"/>
      <c r="JL13" s="211"/>
      <c r="JM13" s="211"/>
      <c r="JN13" s="211"/>
      <c r="JO13" s="211"/>
      <c r="JP13" s="211"/>
      <c r="JQ13" s="211"/>
      <c r="JR13" s="211"/>
      <c r="JS13" s="211"/>
      <c r="JT13" s="211"/>
      <c r="JU13" s="211"/>
      <c r="JV13" s="211"/>
      <c r="JW13" s="211"/>
      <c r="JX13" s="211"/>
      <c r="JY13" s="211"/>
      <c r="JZ13" s="211"/>
      <c r="KA13" s="211"/>
      <c r="KB13" s="211"/>
      <c r="KC13" s="211"/>
      <c r="KD13" s="211"/>
      <c r="KE13" s="211"/>
      <c r="KF13" s="211"/>
      <c r="KG13" s="211"/>
      <c r="KH13" s="211"/>
      <c r="KI13" s="211"/>
      <c r="KJ13" s="211"/>
      <c r="KK13" s="211"/>
      <c r="KL13" s="211"/>
      <c r="KM13" s="211"/>
      <c r="KN13" s="211"/>
      <c r="KO13" s="211"/>
      <c r="KP13" s="211"/>
      <c r="KQ13" s="211"/>
      <c r="KR13" s="211"/>
      <c r="KS13" s="211"/>
      <c r="KT13" s="211"/>
      <c r="KU13" s="211"/>
      <c r="KV13" s="211"/>
      <c r="KW13" s="211"/>
      <c r="KX13" s="211"/>
      <c r="KY13" s="211"/>
      <c r="KZ13" s="211"/>
      <c r="LA13" s="211"/>
      <c r="LB13" s="211"/>
      <c r="LC13" s="211"/>
      <c r="LD13" s="211"/>
      <c r="LE13" s="211"/>
      <c r="LF13" s="211"/>
      <c r="LG13" s="211"/>
      <c r="LH13" s="211"/>
      <c r="LI13" s="211"/>
      <c r="LJ13" s="211"/>
      <c r="LK13" s="211"/>
      <c r="LL13" s="211"/>
      <c r="LM13" s="211"/>
      <c r="LN13" s="211"/>
      <c r="LO13" s="211"/>
      <c r="LP13" s="211"/>
      <c r="LQ13" s="211"/>
      <c r="LR13" s="211"/>
      <c r="LS13" s="211"/>
      <c r="LT13" s="211"/>
      <c r="LU13" s="211"/>
      <c r="LV13" s="211"/>
      <c r="LW13" s="211"/>
      <c r="LX13" s="211"/>
      <c r="LY13" s="211"/>
      <c r="LZ13" s="211"/>
      <c r="MA13" s="211"/>
      <c r="MB13" s="211"/>
      <c r="MC13" s="211"/>
      <c r="MD13" s="211"/>
      <c r="ME13" s="211"/>
      <c r="MF13" s="211"/>
      <c r="MG13" s="211"/>
      <c r="MH13" s="211"/>
      <c r="MI13" s="211"/>
      <c r="MJ13" s="211"/>
      <c r="MK13" s="211"/>
      <c r="ML13" s="211"/>
      <c r="MM13" s="211"/>
      <c r="MN13" s="211"/>
      <c r="MO13" s="211"/>
      <c r="MP13" s="211"/>
      <c r="MQ13" s="211"/>
      <c r="MR13" s="211"/>
      <c r="MS13" s="211"/>
      <c r="MT13" s="211"/>
      <c r="MU13" s="211"/>
      <c r="MV13" s="211"/>
      <c r="MW13" s="211"/>
      <c r="MX13" s="211"/>
      <c r="MY13" s="211"/>
      <c r="MZ13" s="211"/>
      <c r="NA13" s="211"/>
      <c r="NB13" s="211"/>
      <c r="NC13" s="211"/>
      <c r="ND13" s="211"/>
      <c r="NE13" s="211"/>
      <c r="NF13" s="211"/>
      <c r="NG13" s="211"/>
      <c r="NH13" s="211"/>
      <c r="NI13" s="211"/>
      <c r="NJ13" s="211"/>
      <c r="NK13" s="211"/>
      <c r="NL13" s="211"/>
      <c r="NM13" s="211"/>
      <c r="NN13" s="211"/>
      <c r="NO13" s="211"/>
      <c r="NP13" s="211"/>
      <c r="NQ13" s="211"/>
      <c r="NR13" s="211"/>
      <c r="NS13" s="211"/>
      <c r="NT13" s="211"/>
      <c r="NU13" s="211"/>
      <c r="NV13" s="211"/>
      <c r="NW13" s="211"/>
      <c r="NX13" s="211"/>
      <c r="NY13" s="211"/>
      <c r="NZ13" s="211"/>
      <c r="OA13" s="211"/>
      <c r="OB13" s="211"/>
      <c r="OC13" s="211"/>
      <c r="OD13" s="211"/>
      <c r="OE13" s="211"/>
      <c r="OF13" s="211"/>
      <c r="OG13" s="211"/>
      <c r="OH13" s="211"/>
      <c r="OI13" s="211"/>
      <c r="OJ13" s="211"/>
      <c r="OK13" s="211"/>
      <c r="OL13" s="211"/>
      <c r="OM13" s="211"/>
      <c r="ON13" s="211"/>
      <c r="OO13" s="211"/>
      <c r="OP13" s="211"/>
      <c r="OQ13" s="211"/>
      <c r="OR13" s="211"/>
      <c r="OS13" s="211"/>
      <c r="OT13" s="211"/>
      <c r="OU13" s="211"/>
      <c r="OV13" s="211"/>
      <c r="OW13" s="211"/>
      <c r="OX13" s="211"/>
      <c r="OY13" s="211"/>
      <c r="OZ13" s="211"/>
      <c r="PA13" s="211"/>
      <c r="PB13" s="211"/>
      <c r="PC13" s="211"/>
      <c r="PD13" s="211"/>
      <c r="PE13" s="211"/>
      <c r="PF13" s="211"/>
      <c r="PG13" s="211"/>
      <c r="PH13" s="211"/>
      <c r="PI13" s="211"/>
      <c r="PJ13" s="211"/>
      <c r="PK13" s="211"/>
      <c r="PL13" s="211"/>
      <c r="PM13" s="211"/>
      <c r="PN13" s="211"/>
      <c r="PO13" s="211"/>
      <c r="PP13" s="211"/>
      <c r="PQ13" s="211"/>
      <c r="PR13" s="211"/>
      <c r="PS13" s="211"/>
      <c r="PT13" s="211"/>
      <c r="PU13" s="211"/>
      <c r="PV13" s="211"/>
      <c r="PW13" s="211"/>
      <c r="PX13" s="211"/>
      <c r="PY13" s="211"/>
      <c r="PZ13" s="211"/>
      <c r="QA13" s="211"/>
      <c r="QB13" s="211"/>
      <c r="QC13" s="211"/>
      <c r="QD13" s="211"/>
      <c r="QE13" s="211"/>
      <c r="QF13" s="211"/>
      <c r="QG13" s="211"/>
      <c r="QH13" s="211"/>
      <c r="QI13" s="211"/>
      <c r="QJ13" s="211"/>
      <c r="QK13" s="211"/>
      <c r="QL13" s="211"/>
      <c r="QM13" s="211"/>
      <c r="QN13" s="211"/>
      <c r="QO13" s="211"/>
      <c r="QP13" s="211"/>
      <c r="QQ13" s="211"/>
      <c r="QR13" s="211"/>
      <c r="QS13" s="211"/>
      <c r="QT13" s="211"/>
      <c r="QU13" s="211"/>
      <c r="QV13" s="211"/>
      <c r="QW13" s="211"/>
      <c r="QX13" s="211"/>
      <c r="QY13" s="211"/>
      <c r="QZ13" s="211"/>
      <c r="RA13" s="211"/>
      <c r="RB13" s="211"/>
      <c r="RC13" s="211"/>
      <c r="RD13" s="211"/>
      <c r="RE13" s="211"/>
      <c r="RF13" s="211"/>
      <c r="RG13" s="211"/>
      <c r="RH13" s="211"/>
      <c r="RI13" s="211"/>
      <c r="RJ13" s="211"/>
      <c r="RK13" s="211"/>
      <c r="RL13" s="211"/>
      <c r="RM13" s="211"/>
      <c r="RN13" s="211"/>
      <c r="RO13" s="211"/>
      <c r="RP13" s="211"/>
      <c r="RQ13" s="211"/>
      <c r="RR13" s="211"/>
      <c r="RS13" s="211"/>
      <c r="RT13" s="211"/>
      <c r="RU13" s="211"/>
      <c r="RV13" s="211"/>
      <c r="RW13" s="211"/>
      <c r="RX13" s="211"/>
      <c r="RY13" s="211"/>
      <c r="RZ13" s="211"/>
      <c r="SA13" s="211"/>
      <c r="SB13" s="211"/>
      <c r="SC13" s="211"/>
      <c r="SD13" s="211"/>
      <c r="SE13" s="211"/>
      <c r="SF13" s="211"/>
      <c r="SG13" s="211"/>
      <c r="SH13" s="211"/>
      <c r="SI13" s="211"/>
      <c r="SJ13" s="211"/>
      <c r="SK13" s="211"/>
      <c r="SL13" s="211"/>
      <c r="SM13" s="211"/>
      <c r="SN13" s="211"/>
      <c r="SO13" s="211"/>
      <c r="SP13" s="211"/>
      <c r="SQ13" s="211"/>
      <c r="SR13" s="211"/>
      <c r="SS13" s="211"/>
      <c r="ST13" s="211"/>
      <c r="SU13" s="211"/>
      <c r="SV13" s="211"/>
      <c r="SW13" s="211"/>
      <c r="SX13" s="211"/>
      <c r="SY13" s="211"/>
      <c r="SZ13" s="211"/>
      <c r="TA13" s="211"/>
      <c r="TB13" s="211"/>
      <c r="TC13" s="211"/>
      <c r="TD13" s="211"/>
      <c r="TE13" s="211"/>
      <c r="TF13" s="211"/>
      <c r="TG13" s="211"/>
      <c r="TH13" s="211"/>
      <c r="TI13" s="211"/>
      <c r="TJ13" s="211"/>
      <c r="TK13" s="211"/>
      <c r="TL13" s="211"/>
      <c r="TM13" s="211"/>
      <c r="TN13" s="211"/>
      <c r="TO13" s="211"/>
      <c r="TP13" s="211"/>
      <c r="TQ13" s="211"/>
      <c r="TR13" s="211"/>
      <c r="TS13" s="211"/>
      <c r="TT13" s="211"/>
      <c r="TU13" s="211"/>
      <c r="TV13" s="211"/>
      <c r="TW13" s="211"/>
      <c r="TX13" s="211"/>
      <c r="TY13" s="211"/>
      <c r="TZ13" s="211"/>
      <c r="UA13" s="211"/>
      <c r="UB13" s="211"/>
      <c r="UC13" s="211"/>
      <c r="UD13" s="211"/>
      <c r="UE13" s="211"/>
      <c r="UF13" s="211"/>
      <c r="UG13" s="211"/>
      <c r="UH13" s="211"/>
      <c r="UI13" s="211"/>
      <c r="UJ13" s="211"/>
      <c r="UK13" s="211"/>
      <c r="UL13" s="211"/>
      <c r="UM13" s="211"/>
      <c r="UN13" s="211"/>
      <c r="UO13" s="211"/>
      <c r="UP13" s="211"/>
      <c r="UQ13" s="211"/>
      <c r="UR13" s="211"/>
      <c r="US13" s="211"/>
      <c r="UT13" s="211"/>
      <c r="UU13" s="211"/>
      <c r="UV13" s="211"/>
      <c r="UW13" s="211"/>
      <c r="UX13" s="211"/>
      <c r="UY13" s="211"/>
      <c r="UZ13" s="211"/>
      <c r="VA13" s="211"/>
      <c r="VB13" s="211"/>
      <c r="VC13" s="211"/>
      <c r="VD13" s="211"/>
      <c r="VE13" s="211"/>
      <c r="VF13" s="211"/>
      <c r="VG13" s="211"/>
      <c r="VH13" s="211"/>
      <c r="VI13" s="211"/>
      <c r="VJ13" s="211"/>
      <c r="VK13" s="211"/>
      <c r="VL13" s="211"/>
      <c r="VM13" s="211"/>
      <c r="VN13" s="211"/>
      <c r="VO13" s="211"/>
      <c r="VP13" s="211"/>
      <c r="VQ13" s="211"/>
      <c r="VR13" s="211"/>
      <c r="VS13" s="211"/>
      <c r="VT13" s="211"/>
      <c r="VU13" s="211"/>
    </row>
    <row r="14" spans="1:593" s="117" customFormat="1" ht="26.25" x14ac:dyDescent="0.15">
      <c r="A14" s="231"/>
      <c r="B14" s="212" t="s">
        <v>312</v>
      </c>
      <c r="C14" s="210" t="s">
        <v>410</v>
      </c>
      <c r="D14" s="213">
        <v>1</v>
      </c>
      <c r="E14" s="213">
        <v>1</v>
      </c>
      <c r="F14" s="213">
        <v>1</v>
      </c>
      <c r="G14" s="213">
        <v>1</v>
      </c>
      <c r="H14" s="213">
        <v>1</v>
      </c>
      <c r="I14" s="213">
        <v>1</v>
      </c>
      <c r="J14" s="213">
        <v>1</v>
      </c>
      <c r="K14" s="213">
        <v>1</v>
      </c>
      <c r="L14" s="213">
        <v>1</v>
      </c>
      <c r="M14" s="213">
        <v>1</v>
      </c>
      <c r="N14" s="213">
        <v>1</v>
      </c>
      <c r="O14" s="213"/>
      <c r="P14" s="213"/>
      <c r="Q14" s="213"/>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c r="BX14" s="213"/>
      <c r="BY14" s="213"/>
      <c r="BZ14" s="213"/>
      <c r="CA14" s="213"/>
      <c r="CB14" s="213"/>
      <c r="CC14" s="213"/>
      <c r="CD14" s="213"/>
      <c r="CE14" s="213"/>
      <c r="CF14" s="213"/>
      <c r="CG14" s="213"/>
      <c r="CH14" s="213"/>
      <c r="CI14" s="213"/>
      <c r="CJ14" s="213"/>
      <c r="CK14" s="213"/>
      <c r="CL14" s="213"/>
      <c r="CM14" s="213"/>
      <c r="CN14" s="213"/>
      <c r="CO14" s="213"/>
      <c r="CP14" s="213"/>
      <c r="CQ14" s="213"/>
      <c r="CR14" s="213"/>
      <c r="CS14" s="213"/>
      <c r="CT14" s="213"/>
      <c r="CU14" s="213"/>
      <c r="CV14" s="213"/>
      <c r="CW14" s="213"/>
      <c r="CX14" s="213"/>
      <c r="CY14" s="213"/>
      <c r="CZ14" s="213"/>
      <c r="DA14" s="213"/>
      <c r="DB14" s="213"/>
      <c r="DC14" s="213"/>
      <c r="DD14" s="213"/>
      <c r="DE14" s="213"/>
      <c r="DF14" s="213"/>
      <c r="DG14" s="213"/>
      <c r="DH14" s="213"/>
      <c r="DI14" s="213"/>
      <c r="DJ14" s="213"/>
      <c r="DK14" s="213"/>
      <c r="DL14" s="213"/>
      <c r="DM14" s="213"/>
      <c r="DN14" s="213"/>
      <c r="DO14" s="213"/>
      <c r="DP14" s="213"/>
      <c r="DQ14" s="213"/>
      <c r="DR14" s="213"/>
      <c r="DS14" s="213"/>
      <c r="DT14" s="213"/>
      <c r="DU14" s="213"/>
      <c r="DV14" s="213"/>
      <c r="DW14" s="213"/>
      <c r="DX14" s="213"/>
      <c r="DY14" s="213"/>
      <c r="DZ14" s="213"/>
      <c r="EA14" s="213"/>
      <c r="EB14" s="213"/>
      <c r="EC14" s="213"/>
      <c r="ED14" s="213"/>
      <c r="EE14" s="213"/>
      <c r="EF14" s="213"/>
      <c r="EG14" s="213"/>
      <c r="EH14" s="213"/>
      <c r="EI14" s="213"/>
      <c r="EJ14" s="213"/>
      <c r="EK14" s="213"/>
      <c r="EL14" s="213"/>
      <c r="EM14" s="213"/>
      <c r="EN14" s="213"/>
      <c r="EO14" s="213"/>
      <c r="EP14" s="213"/>
      <c r="EQ14" s="213"/>
      <c r="ER14" s="213"/>
      <c r="ES14" s="213"/>
      <c r="ET14" s="213"/>
      <c r="EU14" s="213"/>
      <c r="EV14" s="213"/>
      <c r="EW14" s="213"/>
      <c r="EX14" s="213"/>
      <c r="EY14" s="213"/>
      <c r="EZ14" s="213"/>
      <c r="FA14" s="213"/>
      <c r="FB14" s="213"/>
      <c r="FC14" s="213"/>
      <c r="FD14" s="213"/>
      <c r="FE14" s="213"/>
      <c r="FF14" s="213"/>
      <c r="FG14" s="213"/>
      <c r="FH14" s="213"/>
      <c r="FI14" s="213"/>
      <c r="FJ14" s="213"/>
      <c r="FK14" s="213"/>
      <c r="FL14" s="213"/>
      <c r="FM14" s="213"/>
      <c r="FN14" s="213"/>
      <c r="FO14" s="213"/>
      <c r="FP14" s="213"/>
      <c r="FQ14" s="213"/>
      <c r="FR14" s="213"/>
      <c r="FS14" s="213"/>
      <c r="FT14" s="213"/>
      <c r="FU14" s="213"/>
      <c r="FV14" s="213"/>
      <c r="FW14" s="213"/>
      <c r="FX14" s="213"/>
      <c r="FY14" s="213"/>
      <c r="FZ14" s="213"/>
      <c r="GA14" s="213"/>
      <c r="GB14" s="213"/>
      <c r="GC14" s="213"/>
      <c r="GD14" s="213"/>
      <c r="GE14" s="213"/>
      <c r="GF14" s="213"/>
      <c r="GG14" s="213"/>
      <c r="GH14" s="213"/>
      <c r="GI14" s="213"/>
      <c r="GJ14" s="213"/>
      <c r="GK14" s="213"/>
      <c r="GL14" s="213"/>
      <c r="GM14" s="213"/>
      <c r="GN14" s="213"/>
      <c r="GO14" s="213"/>
      <c r="GP14" s="213"/>
      <c r="GQ14" s="213"/>
      <c r="GR14" s="213"/>
      <c r="GS14" s="213"/>
      <c r="GT14" s="213"/>
      <c r="GU14" s="213"/>
      <c r="GV14" s="213"/>
      <c r="GW14" s="213"/>
      <c r="GX14" s="213"/>
      <c r="GY14" s="213"/>
      <c r="GZ14" s="213"/>
      <c r="HA14" s="213"/>
      <c r="HB14" s="213"/>
      <c r="HC14" s="213"/>
      <c r="HD14" s="213"/>
      <c r="HE14" s="213"/>
      <c r="HF14" s="213"/>
      <c r="HG14" s="213"/>
      <c r="HH14" s="213"/>
      <c r="HI14" s="213"/>
      <c r="HJ14" s="213"/>
      <c r="HK14" s="213"/>
      <c r="HL14" s="213"/>
      <c r="HM14" s="213"/>
      <c r="HN14" s="213"/>
      <c r="HO14" s="213"/>
      <c r="HP14" s="213"/>
      <c r="HQ14" s="213"/>
      <c r="HR14" s="213"/>
      <c r="HS14" s="213"/>
      <c r="HT14" s="213"/>
      <c r="HU14" s="213"/>
      <c r="HV14" s="213"/>
      <c r="HW14" s="213"/>
      <c r="HX14" s="213"/>
      <c r="HY14" s="213"/>
      <c r="HZ14" s="213"/>
      <c r="IA14" s="213"/>
      <c r="IB14" s="213"/>
      <c r="IC14" s="213"/>
      <c r="ID14" s="213"/>
      <c r="IE14" s="213"/>
      <c r="IF14" s="213"/>
      <c r="IG14" s="213"/>
      <c r="IH14" s="213"/>
      <c r="II14" s="213"/>
      <c r="IJ14" s="213"/>
      <c r="IK14" s="213"/>
      <c r="IL14" s="213"/>
      <c r="IM14" s="213"/>
      <c r="IN14" s="213"/>
      <c r="IO14" s="213"/>
      <c r="IP14" s="213"/>
      <c r="IQ14" s="213"/>
      <c r="IR14" s="213"/>
      <c r="IS14" s="213"/>
      <c r="IT14" s="213"/>
      <c r="IU14" s="213"/>
      <c r="IV14" s="213"/>
      <c r="IW14" s="213"/>
      <c r="IX14" s="213"/>
      <c r="IY14" s="213"/>
      <c r="IZ14" s="213"/>
      <c r="JA14" s="213"/>
      <c r="JB14" s="213"/>
      <c r="JC14" s="213"/>
      <c r="JD14" s="213"/>
      <c r="JE14" s="213"/>
      <c r="JF14" s="213"/>
      <c r="JG14" s="213"/>
      <c r="JH14" s="213"/>
      <c r="JI14" s="213"/>
      <c r="JJ14" s="213"/>
      <c r="JK14" s="213"/>
      <c r="JL14" s="213"/>
      <c r="JM14" s="213"/>
      <c r="JN14" s="213"/>
      <c r="JO14" s="213"/>
      <c r="JP14" s="213"/>
      <c r="JQ14" s="213"/>
      <c r="JR14" s="213"/>
      <c r="JS14" s="213"/>
      <c r="JT14" s="213"/>
      <c r="JU14" s="213"/>
      <c r="JV14" s="213"/>
      <c r="JW14" s="213"/>
      <c r="JX14" s="213"/>
      <c r="JY14" s="213"/>
      <c r="JZ14" s="213"/>
      <c r="KA14" s="213"/>
      <c r="KB14" s="213"/>
      <c r="KC14" s="213"/>
      <c r="KD14" s="213"/>
      <c r="KE14" s="213"/>
      <c r="KF14" s="213"/>
      <c r="KG14" s="213"/>
      <c r="KH14" s="213"/>
      <c r="KI14" s="213"/>
      <c r="KJ14" s="213"/>
      <c r="KK14" s="213"/>
      <c r="KL14" s="213"/>
      <c r="KM14" s="213"/>
      <c r="KN14" s="213"/>
      <c r="KO14" s="213"/>
      <c r="KP14" s="213"/>
      <c r="KQ14" s="213"/>
      <c r="KR14" s="213"/>
      <c r="KS14" s="213"/>
      <c r="KT14" s="213"/>
      <c r="KU14" s="213"/>
      <c r="KV14" s="213"/>
      <c r="KW14" s="213"/>
      <c r="KX14" s="213"/>
      <c r="KY14" s="213"/>
      <c r="KZ14" s="213"/>
      <c r="LA14" s="213"/>
      <c r="LB14" s="213"/>
      <c r="LC14" s="213"/>
      <c r="LD14" s="213"/>
      <c r="LE14" s="213"/>
      <c r="LF14" s="213"/>
      <c r="LG14" s="213"/>
      <c r="LH14" s="213"/>
      <c r="LI14" s="213"/>
      <c r="LJ14" s="213"/>
      <c r="LK14" s="213"/>
      <c r="LL14" s="213"/>
      <c r="LM14" s="213"/>
      <c r="LN14" s="213"/>
      <c r="LO14" s="213"/>
      <c r="LP14" s="213"/>
      <c r="LQ14" s="213"/>
      <c r="LR14" s="213"/>
      <c r="LS14" s="213"/>
      <c r="LT14" s="213"/>
      <c r="LU14" s="213"/>
      <c r="LV14" s="213"/>
      <c r="LW14" s="213"/>
      <c r="LX14" s="213"/>
      <c r="LY14" s="213"/>
      <c r="LZ14" s="213"/>
      <c r="MA14" s="213"/>
      <c r="MB14" s="213"/>
      <c r="MC14" s="213"/>
      <c r="MD14" s="213"/>
      <c r="ME14" s="213"/>
      <c r="MF14" s="213"/>
      <c r="MG14" s="213"/>
      <c r="MH14" s="213"/>
      <c r="MI14" s="213"/>
      <c r="MJ14" s="213"/>
      <c r="MK14" s="213"/>
      <c r="ML14" s="213"/>
      <c r="MM14" s="213"/>
      <c r="MN14" s="213"/>
      <c r="MO14" s="213"/>
      <c r="MP14" s="213"/>
      <c r="MQ14" s="213"/>
      <c r="MR14" s="213"/>
      <c r="MS14" s="213"/>
      <c r="MT14" s="213"/>
      <c r="MU14" s="213"/>
      <c r="MV14" s="213"/>
      <c r="MW14" s="213"/>
      <c r="MX14" s="213"/>
      <c r="MY14" s="213"/>
      <c r="MZ14" s="213"/>
      <c r="NA14" s="213"/>
      <c r="NB14" s="213"/>
      <c r="NC14" s="213"/>
      <c r="ND14" s="213"/>
      <c r="NE14" s="213"/>
      <c r="NF14" s="213"/>
      <c r="NG14" s="213"/>
      <c r="NH14" s="213"/>
      <c r="NI14" s="213"/>
      <c r="NJ14" s="213"/>
      <c r="NK14" s="213"/>
      <c r="NL14" s="213"/>
      <c r="NM14" s="213"/>
      <c r="NN14" s="213"/>
      <c r="NO14" s="213"/>
      <c r="NP14" s="213"/>
      <c r="NQ14" s="213"/>
      <c r="NR14" s="213"/>
      <c r="NS14" s="213"/>
      <c r="NT14" s="213"/>
      <c r="NU14" s="213"/>
      <c r="NV14" s="213"/>
      <c r="NW14" s="213"/>
      <c r="NX14" s="213"/>
      <c r="NY14" s="213"/>
      <c r="NZ14" s="213"/>
      <c r="OA14" s="213"/>
      <c r="OB14" s="213"/>
      <c r="OC14" s="213"/>
      <c r="OD14" s="213"/>
      <c r="OE14" s="213"/>
      <c r="OF14" s="213"/>
      <c r="OG14" s="213"/>
      <c r="OH14" s="213"/>
      <c r="OI14" s="213"/>
      <c r="OJ14" s="213"/>
      <c r="OK14" s="213"/>
      <c r="OL14" s="213"/>
      <c r="OM14" s="213"/>
      <c r="ON14" s="213"/>
      <c r="OO14" s="213"/>
      <c r="OP14" s="213"/>
      <c r="OQ14" s="213"/>
      <c r="OR14" s="213"/>
      <c r="OS14" s="213"/>
      <c r="OT14" s="213"/>
      <c r="OU14" s="213"/>
      <c r="OV14" s="213"/>
      <c r="OW14" s="213"/>
      <c r="OX14" s="213"/>
      <c r="OY14" s="213"/>
      <c r="OZ14" s="213"/>
      <c r="PA14" s="213"/>
      <c r="PB14" s="213"/>
      <c r="PC14" s="213"/>
      <c r="PD14" s="213"/>
      <c r="PE14" s="213"/>
      <c r="PF14" s="213"/>
      <c r="PG14" s="213"/>
      <c r="PH14" s="213"/>
      <c r="PI14" s="213"/>
      <c r="PJ14" s="213"/>
      <c r="PK14" s="213"/>
      <c r="PL14" s="213"/>
      <c r="PM14" s="213"/>
      <c r="PN14" s="213"/>
      <c r="PO14" s="213"/>
      <c r="PP14" s="213"/>
      <c r="PQ14" s="213"/>
      <c r="PR14" s="213"/>
      <c r="PS14" s="213"/>
      <c r="PT14" s="213"/>
      <c r="PU14" s="213"/>
      <c r="PV14" s="213"/>
      <c r="PW14" s="213"/>
      <c r="PX14" s="213"/>
      <c r="PY14" s="213"/>
      <c r="PZ14" s="213"/>
      <c r="QA14" s="213"/>
      <c r="QB14" s="213"/>
      <c r="QC14" s="213"/>
      <c r="QD14" s="213"/>
      <c r="QE14" s="213"/>
      <c r="QF14" s="213"/>
      <c r="QG14" s="213"/>
      <c r="QH14" s="213"/>
      <c r="QI14" s="213"/>
      <c r="QJ14" s="213"/>
      <c r="QK14" s="213"/>
      <c r="QL14" s="213"/>
      <c r="QM14" s="213"/>
      <c r="QN14" s="213"/>
      <c r="QO14" s="213"/>
      <c r="QP14" s="213"/>
      <c r="QQ14" s="213"/>
      <c r="QR14" s="213"/>
      <c r="QS14" s="213"/>
      <c r="QT14" s="213"/>
      <c r="QU14" s="213"/>
      <c r="QV14" s="213"/>
      <c r="QW14" s="213"/>
      <c r="QX14" s="213"/>
      <c r="QY14" s="213"/>
      <c r="QZ14" s="213"/>
      <c r="RA14" s="213"/>
      <c r="RB14" s="213"/>
      <c r="RC14" s="213"/>
      <c r="RD14" s="213"/>
      <c r="RE14" s="213"/>
      <c r="RF14" s="213"/>
      <c r="RG14" s="213"/>
      <c r="RH14" s="213"/>
      <c r="RI14" s="213"/>
      <c r="RJ14" s="213"/>
      <c r="RK14" s="213"/>
      <c r="RL14" s="213"/>
      <c r="RM14" s="213"/>
      <c r="RN14" s="213"/>
      <c r="RO14" s="213"/>
      <c r="RP14" s="213"/>
      <c r="RQ14" s="213"/>
      <c r="RR14" s="213"/>
      <c r="RS14" s="213"/>
      <c r="RT14" s="213"/>
      <c r="RU14" s="213"/>
      <c r="RV14" s="213"/>
      <c r="RW14" s="213"/>
      <c r="RX14" s="213"/>
      <c r="RY14" s="213"/>
      <c r="RZ14" s="213"/>
      <c r="SA14" s="213"/>
      <c r="SB14" s="213"/>
      <c r="SC14" s="213"/>
      <c r="SD14" s="213"/>
      <c r="SE14" s="213"/>
      <c r="SF14" s="213"/>
      <c r="SG14" s="213"/>
      <c r="SH14" s="213"/>
      <c r="SI14" s="213"/>
      <c r="SJ14" s="213"/>
      <c r="SK14" s="213"/>
      <c r="SL14" s="213"/>
      <c r="SM14" s="213"/>
      <c r="SN14" s="213"/>
      <c r="SO14" s="213"/>
      <c r="SP14" s="213"/>
      <c r="SQ14" s="213"/>
      <c r="SR14" s="213"/>
      <c r="SS14" s="213"/>
      <c r="ST14" s="213"/>
      <c r="SU14" s="213"/>
      <c r="SV14" s="213"/>
      <c r="SW14" s="213"/>
      <c r="SX14" s="213"/>
      <c r="SY14" s="213"/>
      <c r="SZ14" s="213"/>
      <c r="TA14" s="213"/>
      <c r="TB14" s="213"/>
      <c r="TC14" s="213"/>
      <c r="TD14" s="213"/>
      <c r="TE14" s="213"/>
      <c r="TF14" s="213"/>
      <c r="TG14" s="213"/>
      <c r="TH14" s="213"/>
      <c r="TI14" s="213"/>
      <c r="TJ14" s="213"/>
      <c r="TK14" s="213"/>
      <c r="TL14" s="213"/>
      <c r="TM14" s="213"/>
      <c r="TN14" s="213"/>
      <c r="TO14" s="213"/>
      <c r="TP14" s="213"/>
      <c r="TQ14" s="213"/>
      <c r="TR14" s="213"/>
      <c r="TS14" s="213"/>
      <c r="TT14" s="213"/>
      <c r="TU14" s="213"/>
      <c r="TV14" s="213"/>
      <c r="TW14" s="213"/>
      <c r="TX14" s="213"/>
      <c r="TY14" s="213"/>
      <c r="TZ14" s="213"/>
      <c r="UA14" s="213"/>
      <c r="UB14" s="213"/>
      <c r="UC14" s="213"/>
      <c r="UD14" s="213"/>
      <c r="UE14" s="213"/>
      <c r="UF14" s="213"/>
      <c r="UG14" s="213"/>
      <c r="UH14" s="213"/>
      <c r="UI14" s="213"/>
      <c r="UJ14" s="213"/>
      <c r="UK14" s="213"/>
      <c r="UL14" s="213"/>
      <c r="UM14" s="213"/>
      <c r="UN14" s="213"/>
      <c r="UO14" s="213"/>
      <c r="UP14" s="213"/>
      <c r="UQ14" s="213"/>
      <c r="UR14" s="213"/>
      <c r="US14" s="213"/>
      <c r="UT14" s="213"/>
      <c r="UU14" s="213"/>
      <c r="UV14" s="213"/>
      <c r="UW14" s="213"/>
      <c r="UX14" s="213"/>
      <c r="UY14" s="213"/>
      <c r="UZ14" s="213"/>
      <c r="VA14" s="213"/>
      <c r="VB14" s="213"/>
      <c r="VC14" s="213"/>
      <c r="VD14" s="213"/>
      <c r="VE14" s="213"/>
      <c r="VF14" s="213"/>
      <c r="VG14" s="213"/>
      <c r="VH14" s="213"/>
      <c r="VI14" s="213"/>
      <c r="VJ14" s="213"/>
      <c r="VK14" s="213"/>
      <c r="VL14" s="213"/>
      <c r="VM14" s="213"/>
      <c r="VN14" s="213"/>
      <c r="VO14" s="213"/>
      <c r="VP14" s="213"/>
      <c r="VQ14" s="213"/>
      <c r="VR14" s="213"/>
      <c r="VS14" s="213"/>
      <c r="VT14" s="213"/>
      <c r="VU14" s="213"/>
    </row>
    <row r="15" spans="1:593" s="117" customFormat="1" ht="13.5" x14ac:dyDescent="0.15">
      <c r="A15" s="231"/>
      <c r="B15" s="209" t="s">
        <v>314</v>
      </c>
      <c r="C15" s="210" t="s">
        <v>410</v>
      </c>
      <c r="D15" s="211">
        <v>2</v>
      </c>
      <c r="E15" s="211">
        <v>3</v>
      </c>
      <c r="F15" s="211">
        <v>2</v>
      </c>
      <c r="G15" s="211">
        <v>2</v>
      </c>
      <c r="H15" s="211">
        <v>2</v>
      </c>
      <c r="I15" s="211">
        <v>2</v>
      </c>
      <c r="J15" s="211">
        <v>3</v>
      </c>
      <c r="K15" s="211">
        <v>2</v>
      </c>
      <c r="L15" s="211">
        <v>3</v>
      </c>
      <c r="M15" s="211">
        <v>3</v>
      </c>
      <c r="N15" s="211">
        <v>2</v>
      </c>
      <c r="O15" s="211"/>
      <c r="P15" s="211"/>
      <c r="Q15" s="211"/>
      <c r="R15" s="211"/>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1"/>
      <c r="AV15" s="211"/>
      <c r="AW15" s="211"/>
      <c r="AX15" s="211"/>
      <c r="AY15" s="211"/>
      <c r="AZ15" s="211"/>
      <c r="BA15" s="211"/>
      <c r="BB15" s="211"/>
      <c r="BC15" s="211"/>
      <c r="BD15" s="211"/>
      <c r="BE15" s="211"/>
      <c r="BF15" s="211"/>
      <c r="BG15" s="211"/>
      <c r="BH15" s="211"/>
      <c r="BI15" s="211"/>
      <c r="BJ15" s="211"/>
      <c r="BK15" s="211"/>
      <c r="BL15" s="211"/>
      <c r="BM15" s="211"/>
      <c r="BN15" s="211"/>
      <c r="BO15" s="211"/>
      <c r="BP15" s="211"/>
      <c r="BQ15" s="211"/>
      <c r="BR15" s="211"/>
      <c r="BS15" s="211"/>
      <c r="BT15" s="211"/>
      <c r="BU15" s="211"/>
      <c r="BV15" s="211"/>
      <c r="BW15" s="211"/>
      <c r="BX15" s="211"/>
      <c r="BY15" s="211"/>
      <c r="BZ15" s="211"/>
      <c r="CA15" s="211"/>
      <c r="CB15" s="211"/>
      <c r="CC15" s="211"/>
      <c r="CD15" s="211"/>
      <c r="CE15" s="211"/>
      <c r="CF15" s="211"/>
      <c r="CG15" s="211"/>
      <c r="CH15" s="211"/>
      <c r="CI15" s="211"/>
      <c r="CJ15" s="211"/>
      <c r="CK15" s="211"/>
      <c r="CL15" s="211"/>
      <c r="CM15" s="211"/>
      <c r="CN15" s="211"/>
      <c r="CO15" s="211"/>
      <c r="CP15" s="211"/>
      <c r="CQ15" s="211"/>
      <c r="CR15" s="211"/>
      <c r="CS15" s="211"/>
      <c r="CT15" s="211"/>
      <c r="CU15" s="211"/>
      <c r="CV15" s="211"/>
      <c r="CW15" s="211"/>
      <c r="CX15" s="211"/>
      <c r="CY15" s="211"/>
      <c r="CZ15" s="211"/>
      <c r="DA15" s="211"/>
      <c r="DB15" s="211"/>
      <c r="DC15" s="211"/>
      <c r="DD15" s="211"/>
      <c r="DE15" s="211"/>
      <c r="DF15" s="211"/>
      <c r="DG15" s="211"/>
      <c r="DH15" s="211"/>
      <c r="DI15" s="211"/>
      <c r="DJ15" s="211"/>
      <c r="DK15" s="211"/>
      <c r="DL15" s="211"/>
      <c r="DM15" s="211"/>
      <c r="DN15" s="211"/>
      <c r="DO15" s="211"/>
      <c r="DP15" s="211"/>
      <c r="DQ15" s="211"/>
      <c r="DR15" s="211"/>
      <c r="DS15" s="211"/>
      <c r="DT15" s="211"/>
      <c r="DU15" s="211"/>
      <c r="DV15" s="211"/>
      <c r="DW15" s="211"/>
      <c r="DX15" s="211"/>
      <c r="DY15" s="211"/>
      <c r="DZ15" s="211"/>
      <c r="EA15" s="211"/>
      <c r="EB15" s="211"/>
      <c r="EC15" s="211"/>
      <c r="ED15" s="211"/>
      <c r="EE15" s="211"/>
      <c r="EF15" s="211"/>
      <c r="EG15" s="211"/>
      <c r="EH15" s="211"/>
      <c r="EI15" s="211"/>
      <c r="EJ15" s="211"/>
      <c r="EK15" s="211"/>
      <c r="EL15" s="211"/>
      <c r="EM15" s="211"/>
      <c r="EN15" s="211"/>
      <c r="EO15" s="211"/>
      <c r="EP15" s="211"/>
      <c r="EQ15" s="211"/>
      <c r="ER15" s="211"/>
      <c r="ES15" s="211"/>
      <c r="ET15" s="211"/>
      <c r="EU15" s="211"/>
      <c r="EV15" s="211"/>
      <c r="EW15" s="211"/>
      <c r="EX15" s="211"/>
      <c r="EY15" s="211"/>
      <c r="EZ15" s="211"/>
      <c r="FA15" s="211"/>
      <c r="FB15" s="211"/>
      <c r="FC15" s="211"/>
      <c r="FD15" s="211"/>
      <c r="FE15" s="211"/>
      <c r="FF15" s="211"/>
      <c r="FG15" s="211"/>
      <c r="FH15" s="211"/>
      <c r="FI15" s="211"/>
      <c r="FJ15" s="211"/>
      <c r="FK15" s="211"/>
      <c r="FL15" s="211"/>
      <c r="FM15" s="211"/>
      <c r="FN15" s="211"/>
      <c r="FO15" s="211"/>
      <c r="FP15" s="211"/>
      <c r="FQ15" s="211"/>
      <c r="FR15" s="211"/>
      <c r="FS15" s="211"/>
      <c r="FT15" s="211"/>
      <c r="FU15" s="211"/>
      <c r="FV15" s="211"/>
      <c r="FW15" s="211"/>
      <c r="FX15" s="211"/>
      <c r="FY15" s="211"/>
      <c r="FZ15" s="211"/>
      <c r="GA15" s="211"/>
      <c r="GB15" s="211"/>
      <c r="GC15" s="211"/>
      <c r="GD15" s="211"/>
      <c r="GE15" s="211"/>
      <c r="GF15" s="211"/>
      <c r="GG15" s="211"/>
      <c r="GH15" s="211"/>
      <c r="GI15" s="211"/>
      <c r="GJ15" s="211"/>
      <c r="GK15" s="211"/>
      <c r="GL15" s="211"/>
      <c r="GM15" s="211"/>
      <c r="GN15" s="211"/>
      <c r="GO15" s="211"/>
      <c r="GP15" s="211"/>
      <c r="GQ15" s="211"/>
      <c r="GR15" s="211"/>
      <c r="GS15" s="211"/>
      <c r="GT15" s="211"/>
      <c r="GU15" s="211"/>
      <c r="GV15" s="211"/>
      <c r="GW15" s="211"/>
      <c r="GX15" s="211"/>
      <c r="GY15" s="211"/>
      <c r="GZ15" s="211"/>
      <c r="HA15" s="211"/>
      <c r="HB15" s="211"/>
      <c r="HC15" s="211"/>
      <c r="HD15" s="211"/>
      <c r="HE15" s="211"/>
      <c r="HF15" s="211"/>
      <c r="HG15" s="211"/>
      <c r="HH15" s="211"/>
      <c r="HI15" s="211"/>
      <c r="HJ15" s="211"/>
      <c r="HK15" s="211"/>
      <c r="HL15" s="211"/>
      <c r="HM15" s="211"/>
      <c r="HN15" s="211"/>
      <c r="HO15" s="211"/>
      <c r="HP15" s="211"/>
      <c r="HQ15" s="211"/>
      <c r="HR15" s="211"/>
      <c r="HS15" s="211"/>
      <c r="HT15" s="211"/>
      <c r="HU15" s="211"/>
      <c r="HV15" s="211"/>
      <c r="HW15" s="211"/>
      <c r="HX15" s="211"/>
      <c r="HY15" s="211"/>
      <c r="HZ15" s="211"/>
      <c r="IA15" s="211"/>
      <c r="IB15" s="211"/>
      <c r="IC15" s="211"/>
      <c r="ID15" s="211"/>
      <c r="IE15" s="211"/>
      <c r="IF15" s="211"/>
      <c r="IG15" s="211"/>
      <c r="IH15" s="211"/>
      <c r="II15" s="211"/>
      <c r="IJ15" s="211"/>
      <c r="IK15" s="211"/>
      <c r="IL15" s="211"/>
      <c r="IM15" s="211"/>
      <c r="IN15" s="211"/>
      <c r="IO15" s="211"/>
      <c r="IP15" s="211"/>
      <c r="IQ15" s="211"/>
      <c r="IR15" s="211"/>
      <c r="IS15" s="211"/>
      <c r="IT15" s="211"/>
      <c r="IU15" s="211"/>
      <c r="IV15" s="211"/>
      <c r="IW15" s="211"/>
      <c r="IX15" s="211"/>
      <c r="IY15" s="211"/>
      <c r="IZ15" s="211"/>
      <c r="JA15" s="211"/>
      <c r="JB15" s="211"/>
      <c r="JC15" s="211"/>
      <c r="JD15" s="211"/>
      <c r="JE15" s="211"/>
      <c r="JF15" s="211"/>
      <c r="JG15" s="211"/>
      <c r="JH15" s="211"/>
      <c r="JI15" s="211"/>
      <c r="JJ15" s="211"/>
      <c r="JK15" s="211"/>
      <c r="JL15" s="211"/>
      <c r="JM15" s="211"/>
      <c r="JN15" s="211"/>
      <c r="JO15" s="211"/>
      <c r="JP15" s="211"/>
      <c r="JQ15" s="211"/>
      <c r="JR15" s="211"/>
      <c r="JS15" s="211"/>
      <c r="JT15" s="211"/>
      <c r="JU15" s="211"/>
      <c r="JV15" s="211"/>
      <c r="JW15" s="211"/>
      <c r="JX15" s="211"/>
      <c r="JY15" s="211"/>
      <c r="JZ15" s="211"/>
      <c r="KA15" s="211"/>
      <c r="KB15" s="211"/>
      <c r="KC15" s="211"/>
      <c r="KD15" s="211"/>
      <c r="KE15" s="211"/>
      <c r="KF15" s="211"/>
      <c r="KG15" s="211"/>
      <c r="KH15" s="211"/>
      <c r="KI15" s="211"/>
      <c r="KJ15" s="211"/>
      <c r="KK15" s="211"/>
      <c r="KL15" s="211"/>
      <c r="KM15" s="211"/>
      <c r="KN15" s="211"/>
      <c r="KO15" s="211"/>
      <c r="KP15" s="211"/>
      <c r="KQ15" s="211"/>
      <c r="KR15" s="211"/>
      <c r="KS15" s="211"/>
      <c r="KT15" s="211"/>
      <c r="KU15" s="211"/>
      <c r="KV15" s="211"/>
      <c r="KW15" s="211"/>
      <c r="KX15" s="211"/>
      <c r="KY15" s="211"/>
      <c r="KZ15" s="211"/>
      <c r="LA15" s="211"/>
      <c r="LB15" s="211"/>
      <c r="LC15" s="211"/>
      <c r="LD15" s="211"/>
      <c r="LE15" s="211"/>
      <c r="LF15" s="211"/>
      <c r="LG15" s="211"/>
      <c r="LH15" s="211"/>
      <c r="LI15" s="211"/>
      <c r="LJ15" s="211"/>
      <c r="LK15" s="211"/>
      <c r="LL15" s="211"/>
      <c r="LM15" s="211"/>
      <c r="LN15" s="211"/>
      <c r="LO15" s="211"/>
      <c r="LP15" s="211"/>
      <c r="LQ15" s="211"/>
      <c r="LR15" s="211"/>
      <c r="LS15" s="211"/>
      <c r="LT15" s="211"/>
      <c r="LU15" s="211"/>
      <c r="LV15" s="211"/>
      <c r="LW15" s="211"/>
      <c r="LX15" s="211"/>
      <c r="LY15" s="211"/>
      <c r="LZ15" s="211"/>
      <c r="MA15" s="211"/>
      <c r="MB15" s="211"/>
      <c r="MC15" s="211"/>
      <c r="MD15" s="211"/>
      <c r="ME15" s="211"/>
      <c r="MF15" s="211"/>
      <c r="MG15" s="211"/>
      <c r="MH15" s="211"/>
      <c r="MI15" s="211"/>
      <c r="MJ15" s="211"/>
      <c r="MK15" s="211"/>
      <c r="ML15" s="211"/>
      <c r="MM15" s="211"/>
      <c r="MN15" s="211"/>
      <c r="MO15" s="211"/>
      <c r="MP15" s="211"/>
      <c r="MQ15" s="211"/>
      <c r="MR15" s="211"/>
      <c r="MS15" s="211"/>
      <c r="MT15" s="211"/>
      <c r="MU15" s="211"/>
      <c r="MV15" s="211"/>
      <c r="MW15" s="211"/>
      <c r="MX15" s="211"/>
      <c r="MY15" s="211"/>
      <c r="MZ15" s="211"/>
      <c r="NA15" s="211"/>
      <c r="NB15" s="211"/>
      <c r="NC15" s="211"/>
      <c r="ND15" s="211"/>
      <c r="NE15" s="211"/>
      <c r="NF15" s="211"/>
      <c r="NG15" s="211"/>
      <c r="NH15" s="211"/>
      <c r="NI15" s="211"/>
      <c r="NJ15" s="211"/>
      <c r="NK15" s="211"/>
      <c r="NL15" s="211"/>
      <c r="NM15" s="211"/>
      <c r="NN15" s="211"/>
      <c r="NO15" s="211"/>
      <c r="NP15" s="211"/>
      <c r="NQ15" s="211"/>
      <c r="NR15" s="211"/>
      <c r="NS15" s="211"/>
      <c r="NT15" s="211"/>
      <c r="NU15" s="211"/>
      <c r="NV15" s="211"/>
      <c r="NW15" s="211"/>
      <c r="NX15" s="211"/>
      <c r="NY15" s="211"/>
      <c r="NZ15" s="211"/>
      <c r="OA15" s="211"/>
      <c r="OB15" s="211"/>
      <c r="OC15" s="211"/>
      <c r="OD15" s="211"/>
      <c r="OE15" s="211"/>
      <c r="OF15" s="211"/>
      <c r="OG15" s="211"/>
      <c r="OH15" s="211"/>
      <c r="OI15" s="211"/>
      <c r="OJ15" s="211"/>
      <c r="OK15" s="211"/>
      <c r="OL15" s="211"/>
      <c r="OM15" s="211"/>
      <c r="ON15" s="211"/>
      <c r="OO15" s="211"/>
      <c r="OP15" s="211"/>
      <c r="OQ15" s="211"/>
      <c r="OR15" s="211"/>
      <c r="OS15" s="211"/>
      <c r="OT15" s="211"/>
      <c r="OU15" s="211"/>
      <c r="OV15" s="211"/>
      <c r="OW15" s="211"/>
      <c r="OX15" s="211"/>
      <c r="OY15" s="211"/>
      <c r="OZ15" s="211"/>
      <c r="PA15" s="211"/>
      <c r="PB15" s="211"/>
      <c r="PC15" s="211"/>
      <c r="PD15" s="211"/>
      <c r="PE15" s="211"/>
      <c r="PF15" s="211"/>
      <c r="PG15" s="211"/>
      <c r="PH15" s="211"/>
      <c r="PI15" s="211"/>
      <c r="PJ15" s="211"/>
      <c r="PK15" s="211"/>
      <c r="PL15" s="211"/>
      <c r="PM15" s="211"/>
      <c r="PN15" s="211"/>
      <c r="PO15" s="211"/>
      <c r="PP15" s="211"/>
      <c r="PQ15" s="211"/>
      <c r="PR15" s="211"/>
      <c r="PS15" s="211"/>
      <c r="PT15" s="211"/>
      <c r="PU15" s="211"/>
      <c r="PV15" s="211"/>
      <c r="PW15" s="211"/>
      <c r="PX15" s="211"/>
      <c r="PY15" s="211"/>
      <c r="PZ15" s="211"/>
      <c r="QA15" s="211"/>
      <c r="QB15" s="211"/>
      <c r="QC15" s="211"/>
      <c r="QD15" s="211"/>
      <c r="QE15" s="211"/>
      <c r="QF15" s="211"/>
      <c r="QG15" s="211"/>
      <c r="QH15" s="211"/>
      <c r="QI15" s="211"/>
      <c r="QJ15" s="211"/>
      <c r="QK15" s="211"/>
      <c r="QL15" s="211"/>
      <c r="QM15" s="211"/>
      <c r="QN15" s="211"/>
      <c r="QO15" s="211"/>
      <c r="QP15" s="211"/>
      <c r="QQ15" s="211"/>
      <c r="QR15" s="211"/>
      <c r="QS15" s="211"/>
      <c r="QT15" s="211"/>
      <c r="QU15" s="211"/>
      <c r="QV15" s="211"/>
      <c r="QW15" s="211"/>
      <c r="QX15" s="211"/>
      <c r="QY15" s="211"/>
      <c r="QZ15" s="211"/>
      <c r="RA15" s="211"/>
      <c r="RB15" s="211"/>
      <c r="RC15" s="211"/>
      <c r="RD15" s="211"/>
      <c r="RE15" s="211"/>
      <c r="RF15" s="211"/>
      <c r="RG15" s="211"/>
      <c r="RH15" s="211"/>
      <c r="RI15" s="211"/>
      <c r="RJ15" s="211"/>
      <c r="RK15" s="211"/>
      <c r="RL15" s="211"/>
      <c r="RM15" s="211"/>
      <c r="RN15" s="211"/>
      <c r="RO15" s="211"/>
      <c r="RP15" s="211"/>
      <c r="RQ15" s="211"/>
      <c r="RR15" s="211"/>
      <c r="RS15" s="211"/>
      <c r="RT15" s="211"/>
      <c r="RU15" s="211"/>
      <c r="RV15" s="211"/>
      <c r="RW15" s="211"/>
      <c r="RX15" s="211"/>
      <c r="RY15" s="211"/>
      <c r="RZ15" s="211"/>
      <c r="SA15" s="211"/>
      <c r="SB15" s="211"/>
      <c r="SC15" s="211"/>
      <c r="SD15" s="211"/>
      <c r="SE15" s="211"/>
      <c r="SF15" s="211"/>
      <c r="SG15" s="211"/>
      <c r="SH15" s="211"/>
      <c r="SI15" s="211"/>
      <c r="SJ15" s="211"/>
      <c r="SK15" s="211"/>
      <c r="SL15" s="211"/>
      <c r="SM15" s="211"/>
      <c r="SN15" s="211"/>
      <c r="SO15" s="211"/>
      <c r="SP15" s="211"/>
      <c r="SQ15" s="211"/>
      <c r="SR15" s="211"/>
      <c r="SS15" s="211"/>
      <c r="ST15" s="211"/>
      <c r="SU15" s="211"/>
      <c r="SV15" s="211"/>
      <c r="SW15" s="211"/>
      <c r="SX15" s="211"/>
      <c r="SY15" s="211"/>
      <c r="SZ15" s="211"/>
      <c r="TA15" s="211"/>
      <c r="TB15" s="211"/>
      <c r="TC15" s="211"/>
      <c r="TD15" s="211"/>
      <c r="TE15" s="211"/>
      <c r="TF15" s="211"/>
      <c r="TG15" s="211"/>
      <c r="TH15" s="211"/>
      <c r="TI15" s="211"/>
      <c r="TJ15" s="211"/>
      <c r="TK15" s="211"/>
      <c r="TL15" s="211"/>
      <c r="TM15" s="211"/>
      <c r="TN15" s="211"/>
      <c r="TO15" s="211"/>
      <c r="TP15" s="211"/>
      <c r="TQ15" s="211"/>
      <c r="TR15" s="211"/>
      <c r="TS15" s="211"/>
      <c r="TT15" s="211"/>
      <c r="TU15" s="211"/>
      <c r="TV15" s="211"/>
      <c r="TW15" s="211"/>
      <c r="TX15" s="211"/>
      <c r="TY15" s="211"/>
      <c r="TZ15" s="211"/>
      <c r="UA15" s="211"/>
      <c r="UB15" s="211"/>
      <c r="UC15" s="211"/>
      <c r="UD15" s="211"/>
      <c r="UE15" s="211"/>
      <c r="UF15" s="211"/>
      <c r="UG15" s="211"/>
      <c r="UH15" s="211"/>
      <c r="UI15" s="211"/>
      <c r="UJ15" s="211"/>
      <c r="UK15" s="211"/>
      <c r="UL15" s="211"/>
      <c r="UM15" s="211"/>
      <c r="UN15" s="211"/>
      <c r="UO15" s="211"/>
      <c r="UP15" s="211"/>
      <c r="UQ15" s="211"/>
      <c r="UR15" s="211"/>
      <c r="US15" s="211"/>
      <c r="UT15" s="211"/>
      <c r="UU15" s="211"/>
      <c r="UV15" s="211"/>
      <c r="UW15" s="211"/>
      <c r="UX15" s="211"/>
      <c r="UY15" s="211"/>
      <c r="UZ15" s="211"/>
      <c r="VA15" s="211"/>
      <c r="VB15" s="211"/>
      <c r="VC15" s="211"/>
      <c r="VD15" s="211"/>
      <c r="VE15" s="211"/>
      <c r="VF15" s="211"/>
      <c r="VG15" s="211"/>
      <c r="VH15" s="211"/>
      <c r="VI15" s="211"/>
      <c r="VJ15" s="211"/>
      <c r="VK15" s="211"/>
      <c r="VL15" s="211"/>
      <c r="VM15" s="211"/>
      <c r="VN15" s="211"/>
      <c r="VO15" s="211"/>
      <c r="VP15" s="211"/>
      <c r="VQ15" s="211"/>
      <c r="VR15" s="211"/>
      <c r="VS15" s="211"/>
      <c r="VT15" s="211"/>
      <c r="VU15" s="211"/>
    </row>
    <row r="16" spans="1:593" s="121" customFormat="1" ht="54" customHeight="1" x14ac:dyDescent="0.15">
      <c r="A16" s="119"/>
      <c r="B16" s="120" t="s">
        <v>286</v>
      </c>
      <c r="C16" s="125" t="s">
        <v>442</v>
      </c>
      <c r="E16" s="121" t="s">
        <v>458</v>
      </c>
      <c r="G16" s="121" t="s">
        <v>461</v>
      </c>
      <c r="H16" s="121" t="s">
        <v>463</v>
      </c>
      <c r="I16" s="121" t="s">
        <v>465</v>
      </c>
      <c r="J16" s="121" t="s">
        <v>476</v>
      </c>
      <c r="M16" s="121" t="s">
        <v>485</v>
      </c>
      <c r="N16" s="121" t="s">
        <v>483</v>
      </c>
    </row>
  </sheetData>
  <mergeCells count="3">
    <mergeCell ref="A8:A11"/>
    <mergeCell ref="A12:A15"/>
    <mergeCell ref="A1:A7"/>
  </mergeCells>
  <conditionalFormatting sqref="A7:XFD7">
    <cfRule type="colorScale" priority="1">
      <colorScale>
        <cfvo type="min"/>
        <cfvo type="percentile" val="50"/>
        <cfvo type="max"/>
        <color rgb="FFF8696B"/>
        <color rgb="FFFFEB84"/>
        <color rgb="FF63BE7B"/>
      </colorScale>
    </cfRule>
  </conditionalFormatting>
  <conditionalFormatting sqref="C12:C15">
    <cfRule type="colorScale" priority="27">
      <colorScale>
        <cfvo type="min"/>
        <cfvo type="percentile" val="50"/>
        <cfvo type="max"/>
        <color rgb="FFF8696B"/>
        <color rgb="FFFFEB84"/>
        <color rgb="FF63BE7B"/>
      </colorScale>
    </cfRule>
  </conditionalFormatting>
  <conditionalFormatting sqref="VV8:XFD9 B10:B11 D10:VU11">
    <cfRule type="colorScale" priority="4">
      <colorScale>
        <cfvo type="min"/>
        <cfvo type="percentile" val="50"/>
        <cfvo type="max"/>
        <color rgb="FF63BE7B"/>
        <color rgb="FFFFEB84"/>
        <color rgb="FFF8696B"/>
      </colorScale>
    </cfRule>
  </conditionalFormatting>
  <conditionalFormatting sqref="VV10:XFD12 A12 B12:VU15">
    <cfRule type="colorScale" priority="28">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B77FCFD-5B54-41AC-86C1-6E391DDD6D64}">
          <x14:formula1>
            <xm:f>Scales!$I$2:$I$6</xm:f>
          </x14:formula1>
          <xm:sqref>C7</xm:sqref>
        </x14:dataValidation>
        <x14:dataValidation type="list" allowBlank="1" showInputMessage="1" showErrorMessage="1" promptTitle="Clic " prompt="to see scale" xr:uid="{E8F24715-0428-4D80-A714-3A28A32247A3}">
          <x14:formula1>
            <xm:f>Scales!$C$2:$C$8</xm:f>
          </x14:formula1>
          <xm:sqref>C10:C15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3C64-2729-CC40-B109-F9413C1D0C4E}">
  <sheetPr filterMode="1"/>
  <dimension ref="A1:AF26"/>
  <sheetViews>
    <sheetView zoomScaleNormal="100" workbookViewId="0">
      <pane xSplit="1" topLeftCell="P1" activePane="topRight" state="frozen"/>
      <selection pane="topRight" activeCell="A2" sqref="A2"/>
    </sheetView>
  </sheetViews>
  <sheetFormatPr defaultColWidth="11.4609375" defaultRowHeight="12.75" x14ac:dyDescent="0.15"/>
  <cols>
    <col min="1" max="1" width="62.4375" style="32" bestFit="1" customWidth="1"/>
    <col min="2" max="15" width="11.4609375" hidden="1" customWidth="1"/>
    <col min="16" max="16" width="24.8125" style="61" bestFit="1" customWidth="1"/>
    <col min="17" max="17" width="28.9921875" style="61" bestFit="1" customWidth="1"/>
  </cols>
  <sheetData>
    <row r="1" spans="1:32" s="58" customFormat="1" ht="13.5" x14ac:dyDescent="0.15">
      <c r="A1" s="59" t="s">
        <v>226</v>
      </c>
      <c r="P1" s="50" t="s">
        <v>224</v>
      </c>
      <c r="Q1" s="50" t="s">
        <v>225</v>
      </c>
      <c r="R1" s="60">
        <v>45658</v>
      </c>
      <c r="S1" s="60">
        <v>45659</v>
      </c>
      <c r="T1" s="60">
        <v>45660</v>
      </c>
      <c r="U1" s="60">
        <v>45661</v>
      </c>
      <c r="V1" s="60">
        <v>45662</v>
      </c>
      <c r="W1" s="60">
        <v>45663</v>
      </c>
      <c r="X1" s="60">
        <v>45664</v>
      </c>
      <c r="Y1" s="60">
        <v>45665</v>
      </c>
      <c r="Z1" s="60">
        <v>45666</v>
      </c>
      <c r="AA1" s="60">
        <v>45667</v>
      </c>
      <c r="AB1" s="60">
        <v>45668</v>
      </c>
      <c r="AC1" s="60">
        <v>45669</v>
      </c>
      <c r="AD1" s="60">
        <v>45670</v>
      </c>
      <c r="AE1" s="60">
        <v>45671</v>
      </c>
      <c r="AF1" s="60">
        <v>45672</v>
      </c>
    </row>
    <row r="2" spans="1:32" ht="35.25" x14ac:dyDescent="0.15">
      <c r="A2" s="34" t="s">
        <v>231</v>
      </c>
      <c r="B2" s="53">
        <v>6</v>
      </c>
      <c r="C2" s="53">
        <v>6</v>
      </c>
      <c r="D2" s="53">
        <v>7</v>
      </c>
      <c r="E2" s="53">
        <v>7</v>
      </c>
      <c r="F2" s="53">
        <v>6</v>
      </c>
      <c r="G2" s="53">
        <v>6</v>
      </c>
      <c r="H2" s="53">
        <v>7</v>
      </c>
      <c r="I2" s="53">
        <v>7</v>
      </c>
      <c r="J2" s="53">
        <v>7</v>
      </c>
      <c r="K2" s="53">
        <v>7</v>
      </c>
      <c r="L2" s="53">
        <v>7</v>
      </c>
      <c r="M2" s="53">
        <v>6</v>
      </c>
      <c r="N2" s="53">
        <v>5</v>
      </c>
      <c r="O2" s="53">
        <v>6</v>
      </c>
      <c r="P2" s="62">
        <f t="shared" ref="P2:P8" si="0">SUM(B2:O2)</f>
        <v>90</v>
      </c>
      <c r="Q2" s="39" t="s">
        <v>222</v>
      </c>
      <c r="R2" s="18"/>
      <c r="S2" s="18"/>
      <c r="T2" s="18"/>
      <c r="U2" s="18"/>
      <c r="V2" s="18"/>
      <c r="W2" s="18"/>
      <c r="X2" s="18"/>
      <c r="Y2" s="18"/>
      <c r="Z2" s="18"/>
      <c r="AA2" s="18"/>
      <c r="AB2" s="18"/>
      <c r="AC2" s="18"/>
      <c r="AD2" s="18"/>
      <c r="AE2" s="18"/>
      <c r="AF2" s="18"/>
    </row>
    <row r="3" spans="1:32" ht="46.5" x14ac:dyDescent="0.15">
      <c r="A3" s="34" t="s">
        <v>232</v>
      </c>
      <c r="B3" s="53">
        <v>7</v>
      </c>
      <c r="C3" s="53">
        <v>6</v>
      </c>
      <c r="D3" s="53">
        <v>7</v>
      </c>
      <c r="E3" s="53">
        <v>7</v>
      </c>
      <c r="F3" s="53">
        <v>5</v>
      </c>
      <c r="G3" s="53">
        <v>7</v>
      </c>
      <c r="H3" s="53">
        <v>7</v>
      </c>
      <c r="I3" s="53">
        <v>5</v>
      </c>
      <c r="J3" s="53">
        <v>7</v>
      </c>
      <c r="K3" s="53">
        <v>6</v>
      </c>
      <c r="L3" s="53">
        <v>5</v>
      </c>
      <c r="M3" s="53">
        <v>5</v>
      </c>
      <c r="N3" s="53">
        <v>6</v>
      </c>
      <c r="O3" s="53">
        <v>6</v>
      </c>
      <c r="P3" s="62">
        <f t="shared" si="0"/>
        <v>86</v>
      </c>
      <c r="Q3" s="39" t="s">
        <v>222</v>
      </c>
      <c r="R3" s="18"/>
      <c r="S3" s="18"/>
      <c r="T3" s="18"/>
      <c r="U3" s="18"/>
      <c r="V3" s="18"/>
      <c r="W3" s="18"/>
      <c r="X3" s="18"/>
      <c r="Y3" s="18"/>
      <c r="Z3" s="18"/>
      <c r="AA3" s="18"/>
      <c r="AB3" s="18"/>
      <c r="AC3" s="18"/>
      <c r="AD3" s="18"/>
      <c r="AE3" s="18"/>
      <c r="AF3" s="18"/>
    </row>
    <row r="4" spans="1:32" ht="69.75" x14ac:dyDescent="0.15">
      <c r="A4" s="34" t="s">
        <v>235</v>
      </c>
      <c r="B4" s="53">
        <v>7</v>
      </c>
      <c r="C4" s="53">
        <v>5</v>
      </c>
      <c r="D4" s="53">
        <v>5</v>
      </c>
      <c r="E4" s="53">
        <v>7</v>
      </c>
      <c r="F4" s="53">
        <v>3</v>
      </c>
      <c r="G4" s="53">
        <v>7</v>
      </c>
      <c r="H4" s="53">
        <v>7</v>
      </c>
      <c r="I4" s="53">
        <v>7</v>
      </c>
      <c r="J4" s="53">
        <v>7</v>
      </c>
      <c r="K4" s="53">
        <v>7</v>
      </c>
      <c r="L4" s="53">
        <v>6</v>
      </c>
      <c r="M4" s="53">
        <v>4</v>
      </c>
      <c r="N4" s="53">
        <v>7</v>
      </c>
      <c r="O4" s="53">
        <v>5</v>
      </c>
      <c r="P4" s="62">
        <f t="shared" si="0"/>
        <v>84</v>
      </c>
      <c r="Q4" s="39" t="s">
        <v>222</v>
      </c>
      <c r="R4" s="18"/>
      <c r="S4" s="18"/>
      <c r="T4" s="18"/>
      <c r="U4" s="18"/>
      <c r="V4" s="18"/>
      <c r="W4" s="18"/>
      <c r="X4" s="18"/>
      <c r="Y4" s="18"/>
      <c r="Z4" s="18"/>
      <c r="AA4" s="18"/>
      <c r="AB4" s="18"/>
      <c r="AC4" s="18"/>
      <c r="AD4" s="18"/>
      <c r="AE4" s="18"/>
      <c r="AF4" s="18"/>
    </row>
    <row r="5" spans="1:32" hidden="1" x14ac:dyDescent="0.15">
      <c r="A5" s="34" t="s">
        <v>201</v>
      </c>
      <c r="B5" s="53">
        <v>6</v>
      </c>
      <c r="C5" s="53">
        <v>3</v>
      </c>
      <c r="D5" s="53">
        <v>5</v>
      </c>
      <c r="E5" s="53">
        <v>7</v>
      </c>
      <c r="F5" s="53">
        <v>5</v>
      </c>
      <c r="G5" s="53">
        <v>4</v>
      </c>
      <c r="H5" s="53">
        <v>7</v>
      </c>
      <c r="I5" s="53">
        <v>7</v>
      </c>
      <c r="J5" s="53">
        <v>7</v>
      </c>
      <c r="K5" s="53">
        <v>6</v>
      </c>
      <c r="L5" s="53">
        <v>7</v>
      </c>
      <c r="M5" s="53">
        <v>5</v>
      </c>
      <c r="N5" s="53">
        <v>6</v>
      </c>
      <c r="O5" s="53">
        <v>4</v>
      </c>
      <c r="P5" s="62">
        <f t="shared" si="0"/>
        <v>79</v>
      </c>
      <c r="Q5" s="39" t="s">
        <v>223</v>
      </c>
      <c r="R5" s="18"/>
      <c r="S5" s="18"/>
      <c r="T5" s="18"/>
      <c r="U5" s="18"/>
      <c r="V5" s="18"/>
      <c r="W5" s="18"/>
      <c r="X5" s="18"/>
      <c r="Y5" s="18"/>
      <c r="Z5" s="18"/>
      <c r="AA5" s="18"/>
      <c r="AB5" s="18"/>
      <c r="AC5" s="18"/>
      <c r="AD5" s="18"/>
      <c r="AE5" s="18"/>
      <c r="AF5" s="18"/>
    </row>
    <row r="6" spans="1:32" hidden="1" x14ac:dyDescent="0.15">
      <c r="A6" s="34" t="s">
        <v>238</v>
      </c>
      <c r="B6" s="53">
        <v>3</v>
      </c>
      <c r="C6" s="53">
        <v>7</v>
      </c>
      <c r="D6" s="53">
        <v>3</v>
      </c>
      <c r="E6" s="53">
        <v>7</v>
      </c>
      <c r="F6" s="53">
        <v>7</v>
      </c>
      <c r="G6" s="53">
        <v>4</v>
      </c>
      <c r="H6" s="53">
        <v>7</v>
      </c>
      <c r="I6" s="53">
        <v>5</v>
      </c>
      <c r="J6" s="53">
        <v>4</v>
      </c>
      <c r="K6" s="53">
        <v>7</v>
      </c>
      <c r="L6" s="53">
        <v>7</v>
      </c>
      <c r="M6" s="53">
        <v>5</v>
      </c>
      <c r="N6" s="53">
        <v>6</v>
      </c>
      <c r="O6" s="53">
        <v>5</v>
      </c>
      <c r="P6" s="62">
        <f t="shared" si="0"/>
        <v>77</v>
      </c>
      <c r="Q6" s="39" t="s">
        <v>223</v>
      </c>
      <c r="R6" s="18"/>
      <c r="S6" s="18"/>
      <c r="T6" s="18"/>
      <c r="U6" s="18"/>
      <c r="V6" s="18"/>
      <c r="W6" s="18"/>
      <c r="X6" s="18"/>
      <c r="Y6" s="18"/>
      <c r="Z6" s="18"/>
      <c r="AA6" s="18"/>
      <c r="AB6" s="18"/>
      <c r="AC6" s="18"/>
      <c r="AD6" s="18"/>
      <c r="AE6" s="18"/>
      <c r="AF6" s="18"/>
    </row>
    <row r="7" spans="1:32" ht="35.25" x14ac:dyDescent="0.15">
      <c r="A7" s="34" t="s">
        <v>257</v>
      </c>
      <c r="B7" s="53">
        <v>7</v>
      </c>
      <c r="C7" s="53">
        <v>4</v>
      </c>
      <c r="D7" s="53">
        <v>4</v>
      </c>
      <c r="E7" s="53">
        <v>3</v>
      </c>
      <c r="F7" s="53">
        <v>5</v>
      </c>
      <c r="G7" s="53">
        <v>5</v>
      </c>
      <c r="H7" s="53">
        <v>7</v>
      </c>
      <c r="I7" s="53">
        <v>7</v>
      </c>
      <c r="J7" s="53">
        <v>7</v>
      </c>
      <c r="K7" s="53">
        <v>6</v>
      </c>
      <c r="L7" s="53">
        <v>3</v>
      </c>
      <c r="M7" s="53">
        <v>5</v>
      </c>
      <c r="N7" s="53">
        <v>7</v>
      </c>
      <c r="O7" s="53">
        <v>5</v>
      </c>
      <c r="P7" s="39">
        <f t="shared" si="0"/>
        <v>75</v>
      </c>
      <c r="Q7" s="39" t="s">
        <v>222</v>
      </c>
      <c r="R7" s="18"/>
      <c r="S7" s="18"/>
      <c r="T7" s="18"/>
      <c r="U7" s="18"/>
      <c r="V7" s="18"/>
      <c r="W7" s="18"/>
      <c r="X7" s="18"/>
      <c r="Y7" s="18"/>
      <c r="Z7" s="18"/>
      <c r="AA7" s="18"/>
      <c r="AB7" s="18"/>
      <c r="AC7" s="18"/>
      <c r="AD7" s="18"/>
      <c r="AE7" s="18"/>
      <c r="AF7" s="18"/>
    </row>
    <row r="8" spans="1:32" hidden="1" x14ac:dyDescent="0.15">
      <c r="A8" s="34" t="s">
        <v>254</v>
      </c>
      <c r="B8" s="53">
        <v>7</v>
      </c>
      <c r="C8" s="53">
        <v>1</v>
      </c>
      <c r="D8" s="53">
        <v>6</v>
      </c>
      <c r="E8" s="53">
        <v>5</v>
      </c>
      <c r="F8" s="53">
        <v>5</v>
      </c>
      <c r="G8" s="53">
        <v>3</v>
      </c>
      <c r="H8" s="53">
        <v>6</v>
      </c>
      <c r="I8" s="53">
        <v>7</v>
      </c>
      <c r="J8" s="53">
        <v>4</v>
      </c>
      <c r="K8" s="53">
        <v>2</v>
      </c>
      <c r="L8" s="53">
        <v>7</v>
      </c>
      <c r="M8" s="53">
        <v>6</v>
      </c>
      <c r="N8" s="53">
        <v>3</v>
      </c>
      <c r="O8" s="53">
        <v>3</v>
      </c>
      <c r="P8" s="62">
        <f t="shared" si="0"/>
        <v>65</v>
      </c>
      <c r="Q8" s="39" t="s">
        <v>223</v>
      </c>
      <c r="R8" s="18"/>
      <c r="S8" s="18"/>
      <c r="T8" s="18"/>
      <c r="U8" s="18"/>
      <c r="V8" s="18"/>
      <c r="W8" s="18"/>
      <c r="X8" s="18"/>
      <c r="Y8" s="18"/>
      <c r="Z8" s="18"/>
      <c r="AA8" s="18"/>
      <c r="AB8" s="18"/>
      <c r="AC8" s="18"/>
      <c r="AD8" s="18"/>
      <c r="AE8" s="18"/>
      <c r="AF8" s="18"/>
    </row>
    <row r="9" spans="1:32" hidden="1" x14ac:dyDescent="0.15">
      <c r="A9" s="59" t="s">
        <v>137</v>
      </c>
      <c r="B9" s="18"/>
      <c r="C9" s="18"/>
      <c r="D9" s="18"/>
      <c r="E9" s="18"/>
      <c r="F9" s="18"/>
      <c r="G9" s="18"/>
      <c r="H9" s="18"/>
      <c r="I9" s="18"/>
      <c r="J9" s="18"/>
      <c r="K9" s="18"/>
      <c r="L9" s="18"/>
      <c r="M9" s="18"/>
      <c r="N9" s="18"/>
      <c r="O9" s="18"/>
      <c r="P9" s="63"/>
      <c r="Q9" s="39" t="s">
        <v>223</v>
      </c>
      <c r="R9" s="18"/>
      <c r="S9" s="18"/>
      <c r="T9" s="18"/>
      <c r="U9" s="18"/>
      <c r="V9" s="18"/>
      <c r="W9" s="18"/>
      <c r="X9" s="18"/>
      <c r="Y9" s="18"/>
      <c r="Z9" s="18"/>
      <c r="AA9" s="18"/>
      <c r="AB9" s="18"/>
      <c r="AC9" s="18"/>
      <c r="AD9" s="18"/>
      <c r="AE9" s="18"/>
      <c r="AF9" s="18"/>
    </row>
    <row r="10" spans="1:32" hidden="1" x14ac:dyDescent="0.15">
      <c r="A10" s="59" t="s">
        <v>138</v>
      </c>
      <c r="B10" s="18"/>
      <c r="C10" s="18"/>
      <c r="D10" s="18"/>
      <c r="E10" s="18"/>
      <c r="F10" s="18"/>
      <c r="G10" s="18"/>
      <c r="H10" s="18"/>
      <c r="I10" s="18"/>
      <c r="J10" s="18"/>
      <c r="K10" s="18"/>
      <c r="L10" s="18"/>
      <c r="M10" s="18"/>
      <c r="N10" s="18"/>
      <c r="O10" s="18"/>
      <c r="P10" s="63"/>
      <c r="Q10" s="39" t="s">
        <v>223</v>
      </c>
      <c r="R10" s="18"/>
      <c r="S10" s="18"/>
      <c r="T10" s="18"/>
      <c r="U10" s="18"/>
      <c r="V10" s="18"/>
      <c r="W10" s="18"/>
      <c r="X10" s="18"/>
      <c r="Y10" s="18"/>
      <c r="Z10" s="18"/>
      <c r="AA10" s="18"/>
      <c r="AB10" s="18"/>
      <c r="AC10" s="18"/>
      <c r="AD10" s="18"/>
      <c r="AE10" s="18"/>
      <c r="AF10" s="18"/>
    </row>
    <row r="11" spans="1:32" hidden="1" x14ac:dyDescent="0.15">
      <c r="A11" s="34" t="s">
        <v>227</v>
      </c>
      <c r="B11" s="18"/>
      <c r="C11" s="18"/>
      <c r="D11" s="18"/>
      <c r="E11" s="18"/>
      <c r="F11" s="18"/>
      <c r="G11" s="18"/>
      <c r="H11" s="18"/>
      <c r="I11" s="18"/>
      <c r="J11" s="18"/>
      <c r="K11" s="18"/>
      <c r="L11" s="18"/>
      <c r="M11" s="18"/>
      <c r="N11" s="18"/>
      <c r="O11" s="18"/>
      <c r="P11" s="63"/>
      <c r="Q11" s="39" t="s">
        <v>223</v>
      </c>
      <c r="R11" s="18"/>
      <c r="S11" s="18"/>
      <c r="T11" s="18"/>
      <c r="U11" s="18"/>
      <c r="V11" s="18"/>
      <c r="W11" s="18"/>
      <c r="X11" s="18"/>
      <c r="Y11" s="18"/>
      <c r="Z11" s="18"/>
      <c r="AA11" s="18"/>
      <c r="AB11" s="18"/>
      <c r="AC11" s="18"/>
      <c r="AD11" s="18"/>
      <c r="AE11" s="18"/>
      <c r="AF11" s="18"/>
    </row>
    <row r="12" spans="1:32" hidden="1" x14ac:dyDescent="0.15">
      <c r="A12" s="64" t="s">
        <v>228</v>
      </c>
      <c r="B12" s="53"/>
      <c r="C12" s="53"/>
      <c r="D12" s="53"/>
      <c r="E12" s="53"/>
      <c r="F12" s="53"/>
      <c r="G12" s="53"/>
      <c r="H12" s="53"/>
      <c r="I12" s="53"/>
      <c r="J12" s="53"/>
      <c r="K12" s="53"/>
      <c r="L12" s="53"/>
      <c r="M12" s="53"/>
      <c r="N12" s="53"/>
      <c r="O12" s="53"/>
      <c r="P12" s="62"/>
      <c r="Q12" s="39"/>
      <c r="R12" s="18"/>
      <c r="S12" s="18"/>
      <c r="T12" s="18"/>
      <c r="U12" s="18"/>
      <c r="V12" s="18"/>
      <c r="W12" s="18"/>
      <c r="X12" s="18"/>
      <c r="Y12" s="18"/>
      <c r="Z12" s="18"/>
      <c r="AA12" s="18"/>
      <c r="AB12" s="18"/>
      <c r="AC12" s="18"/>
      <c r="AD12" s="18"/>
      <c r="AE12" s="18"/>
      <c r="AF12" s="18"/>
    </row>
    <row r="13" spans="1:32" ht="35.25" x14ac:dyDescent="0.15">
      <c r="A13" s="34" t="s">
        <v>241</v>
      </c>
      <c r="B13" s="53">
        <v>6</v>
      </c>
      <c r="C13" s="53">
        <v>5</v>
      </c>
      <c r="D13" s="53">
        <v>2</v>
      </c>
      <c r="E13" s="53">
        <v>5</v>
      </c>
      <c r="F13" s="53">
        <v>7</v>
      </c>
      <c r="G13" s="53">
        <v>7</v>
      </c>
      <c r="H13" s="53">
        <v>7</v>
      </c>
      <c r="I13" s="53">
        <v>6</v>
      </c>
      <c r="J13" s="53">
        <v>7</v>
      </c>
      <c r="K13" s="53">
        <v>7</v>
      </c>
      <c r="L13" s="53">
        <v>7</v>
      </c>
      <c r="M13" s="53">
        <v>5</v>
      </c>
      <c r="N13" s="53">
        <v>7</v>
      </c>
      <c r="O13" s="53">
        <v>6</v>
      </c>
      <c r="P13" s="62">
        <f>SUM(B13:O13)</f>
        <v>84</v>
      </c>
      <c r="Q13" s="39" t="s">
        <v>222</v>
      </c>
      <c r="R13" s="18"/>
      <c r="S13" s="18"/>
      <c r="T13" s="18"/>
      <c r="U13" s="18"/>
      <c r="V13" s="18"/>
      <c r="W13" s="18"/>
      <c r="X13" s="18"/>
      <c r="Y13" s="18"/>
      <c r="Z13" s="18"/>
      <c r="AA13" s="18"/>
      <c r="AB13" s="18"/>
      <c r="AC13" s="18"/>
      <c r="AD13" s="18"/>
      <c r="AE13" s="18"/>
      <c r="AF13" s="18"/>
    </row>
    <row r="14" spans="1:32" ht="24" x14ac:dyDescent="0.15">
      <c r="A14" s="34" t="s">
        <v>242</v>
      </c>
      <c r="B14" s="53">
        <v>5</v>
      </c>
      <c r="C14" s="53">
        <v>5</v>
      </c>
      <c r="D14" s="53">
        <v>7</v>
      </c>
      <c r="E14" s="53">
        <v>6</v>
      </c>
      <c r="F14" s="53">
        <v>6</v>
      </c>
      <c r="G14" s="53">
        <v>7</v>
      </c>
      <c r="H14" s="53">
        <v>6</v>
      </c>
      <c r="I14" s="53">
        <v>6</v>
      </c>
      <c r="J14" s="53">
        <v>7</v>
      </c>
      <c r="K14" s="53">
        <v>7</v>
      </c>
      <c r="L14" s="53">
        <v>5</v>
      </c>
      <c r="M14" s="53">
        <v>5</v>
      </c>
      <c r="N14" s="53">
        <v>6</v>
      </c>
      <c r="O14" s="53">
        <v>5</v>
      </c>
      <c r="P14" s="62">
        <f>SUM(B14:O14)</f>
        <v>83</v>
      </c>
      <c r="Q14" s="39" t="s">
        <v>222</v>
      </c>
      <c r="R14" s="18"/>
      <c r="S14" s="18"/>
      <c r="T14" s="18"/>
      <c r="U14" s="18"/>
      <c r="V14" s="18"/>
      <c r="W14" s="18"/>
      <c r="X14" s="18"/>
      <c r="Y14" s="18"/>
      <c r="Z14" s="18"/>
      <c r="AA14" s="18"/>
      <c r="AB14" s="18"/>
      <c r="AC14" s="18"/>
      <c r="AD14" s="18"/>
      <c r="AE14" s="18"/>
      <c r="AF14" s="18"/>
    </row>
    <row r="15" spans="1:32" ht="24" x14ac:dyDescent="0.15">
      <c r="A15" s="34" t="s">
        <v>243</v>
      </c>
      <c r="B15" s="53">
        <v>3</v>
      </c>
      <c r="C15" s="53">
        <v>3</v>
      </c>
      <c r="D15" s="53">
        <v>7</v>
      </c>
      <c r="E15" s="53">
        <v>7</v>
      </c>
      <c r="F15" s="53">
        <v>5</v>
      </c>
      <c r="G15" s="53">
        <v>6</v>
      </c>
      <c r="H15" s="53">
        <v>7</v>
      </c>
      <c r="I15" s="53">
        <v>5</v>
      </c>
      <c r="J15" s="53">
        <v>7</v>
      </c>
      <c r="K15" s="53">
        <v>7</v>
      </c>
      <c r="L15" s="53">
        <v>7</v>
      </c>
      <c r="M15" s="53">
        <v>5</v>
      </c>
      <c r="N15" s="53">
        <v>6</v>
      </c>
      <c r="O15" s="53">
        <v>6</v>
      </c>
      <c r="P15" s="62">
        <f>SUM(B15:O15)</f>
        <v>81</v>
      </c>
      <c r="Q15" s="39" t="s">
        <v>222</v>
      </c>
      <c r="R15" s="18"/>
      <c r="S15" s="18"/>
      <c r="T15" s="18"/>
      <c r="U15" s="18"/>
      <c r="V15" s="18"/>
      <c r="W15" s="18"/>
      <c r="X15" s="18"/>
      <c r="Y15" s="18"/>
      <c r="Z15" s="18"/>
      <c r="AA15" s="18"/>
      <c r="AB15" s="18"/>
      <c r="AC15" s="18"/>
      <c r="AD15" s="18"/>
      <c r="AE15" s="18"/>
      <c r="AF15" s="18"/>
    </row>
    <row r="16" spans="1:32" hidden="1" x14ac:dyDescent="0.15">
      <c r="A16" s="34" t="s">
        <v>244</v>
      </c>
      <c r="B16" s="53">
        <v>7</v>
      </c>
      <c r="C16" s="53">
        <v>1</v>
      </c>
      <c r="D16" s="53">
        <v>4</v>
      </c>
      <c r="E16" s="53">
        <v>7</v>
      </c>
      <c r="F16" s="53">
        <v>6</v>
      </c>
      <c r="G16" s="53">
        <v>6</v>
      </c>
      <c r="H16" s="53">
        <v>7</v>
      </c>
      <c r="I16" s="53">
        <v>7</v>
      </c>
      <c r="J16" s="53">
        <v>7</v>
      </c>
      <c r="K16" s="53">
        <v>6</v>
      </c>
      <c r="L16" s="53">
        <v>7</v>
      </c>
      <c r="M16" s="53">
        <v>5</v>
      </c>
      <c r="N16" s="53">
        <v>5</v>
      </c>
      <c r="O16" s="53">
        <v>6</v>
      </c>
      <c r="P16" s="62">
        <f>SUM(B16:O16)</f>
        <v>81</v>
      </c>
      <c r="Q16" s="39" t="s">
        <v>223</v>
      </c>
      <c r="R16" s="18"/>
      <c r="S16" s="18"/>
      <c r="T16" s="18"/>
      <c r="U16" s="18"/>
      <c r="V16" s="18"/>
      <c r="W16" s="18"/>
      <c r="X16" s="18"/>
      <c r="Y16" s="18"/>
      <c r="Z16" s="18"/>
      <c r="AA16" s="18"/>
      <c r="AB16" s="18"/>
      <c r="AC16" s="18"/>
      <c r="AD16" s="18"/>
      <c r="AE16" s="18"/>
      <c r="AF16" s="18"/>
    </row>
    <row r="17" spans="1:32" hidden="1" x14ac:dyDescent="0.15">
      <c r="A17" s="34" t="s">
        <v>245</v>
      </c>
      <c r="B17" s="53">
        <v>7</v>
      </c>
      <c r="C17" s="53">
        <v>1</v>
      </c>
      <c r="D17" s="53">
        <v>4</v>
      </c>
      <c r="E17" s="53">
        <v>5</v>
      </c>
      <c r="F17" s="53">
        <v>5</v>
      </c>
      <c r="G17" s="53">
        <v>5</v>
      </c>
      <c r="H17" s="53">
        <v>7</v>
      </c>
      <c r="I17" s="53">
        <v>7</v>
      </c>
      <c r="J17" s="53">
        <v>7</v>
      </c>
      <c r="K17" s="53">
        <v>6</v>
      </c>
      <c r="L17" s="53">
        <v>5</v>
      </c>
      <c r="M17" s="53">
        <v>5</v>
      </c>
      <c r="N17" s="53">
        <v>6</v>
      </c>
      <c r="O17" s="53">
        <v>7</v>
      </c>
      <c r="P17" s="62">
        <f>SUM(B17:O17)</f>
        <v>77</v>
      </c>
      <c r="Q17" s="39" t="s">
        <v>223</v>
      </c>
      <c r="R17" s="18"/>
      <c r="S17" s="18"/>
      <c r="T17" s="18"/>
      <c r="U17" s="18"/>
      <c r="V17" s="18"/>
      <c r="W17" s="18"/>
      <c r="X17" s="18"/>
      <c r="Y17" s="18"/>
      <c r="Z17" s="18"/>
      <c r="AA17" s="18"/>
      <c r="AB17" s="18"/>
      <c r="AC17" s="18"/>
      <c r="AD17" s="18"/>
      <c r="AE17" s="18"/>
      <c r="AF17" s="18"/>
    </row>
    <row r="18" spans="1:32" hidden="1" x14ac:dyDescent="0.15">
      <c r="A18" s="34" t="s">
        <v>246</v>
      </c>
      <c r="B18" s="53"/>
      <c r="C18" s="53"/>
      <c r="D18" s="53"/>
      <c r="E18" s="53"/>
      <c r="F18" s="53"/>
      <c r="G18" s="53"/>
      <c r="H18" s="53"/>
      <c r="I18" s="53"/>
      <c r="J18" s="53"/>
      <c r="K18" s="53"/>
      <c r="L18" s="53"/>
      <c r="M18" s="53"/>
      <c r="N18" s="53"/>
      <c r="O18" s="53"/>
      <c r="P18" s="62"/>
      <c r="Q18" s="39" t="s">
        <v>223</v>
      </c>
      <c r="R18" s="18"/>
      <c r="S18" s="18"/>
      <c r="T18" s="18"/>
      <c r="U18" s="18"/>
      <c r="V18" s="18"/>
      <c r="W18" s="18"/>
      <c r="X18" s="18"/>
      <c r="Y18" s="18"/>
      <c r="Z18" s="18"/>
      <c r="AA18" s="18"/>
      <c r="AB18" s="18"/>
      <c r="AC18" s="18"/>
      <c r="AD18" s="18"/>
      <c r="AE18" s="18"/>
      <c r="AF18" s="18"/>
    </row>
    <row r="19" spans="1:32" hidden="1" x14ac:dyDescent="0.15">
      <c r="A19" s="34" t="s">
        <v>247</v>
      </c>
      <c r="B19" s="53"/>
      <c r="C19" s="53"/>
      <c r="D19" s="53"/>
      <c r="E19" s="53"/>
      <c r="F19" s="53"/>
      <c r="G19" s="53"/>
      <c r="H19" s="53"/>
      <c r="I19" s="53"/>
      <c r="J19" s="53"/>
      <c r="K19" s="53"/>
      <c r="L19" s="53"/>
      <c r="M19" s="53"/>
      <c r="N19" s="53"/>
      <c r="O19" s="53"/>
      <c r="P19" s="62"/>
      <c r="Q19" s="39" t="s">
        <v>223</v>
      </c>
      <c r="R19" s="18"/>
      <c r="S19" s="18"/>
      <c r="T19" s="18"/>
      <c r="U19" s="18"/>
      <c r="V19" s="18"/>
      <c r="W19" s="18"/>
      <c r="X19" s="18"/>
      <c r="Y19" s="18"/>
      <c r="Z19" s="18"/>
      <c r="AA19" s="18"/>
      <c r="AB19" s="18"/>
      <c r="AC19" s="18"/>
      <c r="AD19" s="18"/>
      <c r="AE19" s="18"/>
      <c r="AF19" s="18"/>
    </row>
    <row r="20" spans="1:32" hidden="1" x14ac:dyDescent="0.15">
      <c r="A20" t="s">
        <v>248</v>
      </c>
      <c r="B20" s="53"/>
      <c r="C20" s="53"/>
      <c r="D20" s="53"/>
      <c r="E20" s="53"/>
      <c r="F20" s="53"/>
      <c r="G20" s="53"/>
      <c r="H20" s="53"/>
      <c r="I20" s="53"/>
      <c r="J20" s="53"/>
      <c r="K20" s="53"/>
      <c r="L20" s="53"/>
      <c r="M20" s="53"/>
      <c r="N20" s="53"/>
      <c r="O20" s="53"/>
      <c r="P20" s="62"/>
      <c r="Q20" s="39" t="s">
        <v>223</v>
      </c>
      <c r="R20" s="18"/>
      <c r="S20" s="18"/>
      <c r="T20" s="18"/>
      <c r="U20" s="18"/>
      <c r="V20" s="18"/>
      <c r="W20" s="18"/>
      <c r="X20" s="18"/>
      <c r="Y20" s="18"/>
      <c r="Z20" s="18"/>
      <c r="AA20" s="18"/>
      <c r="AB20" s="18"/>
      <c r="AC20" s="18"/>
      <c r="AD20" s="18"/>
      <c r="AE20" s="18"/>
      <c r="AF20" s="18"/>
    </row>
    <row r="21" spans="1:32" hidden="1" x14ac:dyDescent="0.15">
      <c r="A21" s="34" t="s">
        <v>249</v>
      </c>
      <c r="B21" s="53">
        <v>6</v>
      </c>
      <c r="C21" s="53">
        <v>6</v>
      </c>
      <c r="D21" s="53">
        <v>6</v>
      </c>
      <c r="E21" s="53">
        <v>7</v>
      </c>
      <c r="F21" s="53">
        <v>5</v>
      </c>
      <c r="G21" s="53">
        <v>4</v>
      </c>
      <c r="H21" s="53">
        <v>7</v>
      </c>
      <c r="I21" s="53">
        <v>7</v>
      </c>
      <c r="J21" s="53">
        <v>7</v>
      </c>
      <c r="K21" s="53">
        <v>6</v>
      </c>
      <c r="L21" s="53">
        <v>1</v>
      </c>
      <c r="M21" s="53">
        <v>3</v>
      </c>
      <c r="N21" s="53">
        <v>7</v>
      </c>
      <c r="O21" s="53">
        <v>5</v>
      </c>
      <c r="P21" s="62">
        <f t="shared" ref="P21:P26" si="1">SUM(B21:O21)</f>
        <v>77</v>
      </c>
      <c r="Q21" s="39" t="s">
        <v>223</v>
      </c>
      <c r="R21" s="18"/>
      <c r="S21" s="18"/>
      <c r="T21" s="18"/>
      <c r="U21" s="18"/>
      <c r="V21" s="18"/>
      <c r="W21" s="18"/>
      <c r="X21" s="18"/>
      <c r="Y21" s="18"/>
      <c r="Z21" s="18"/>
      <c r="AA21" s="18"/>
      <c r="AB21" s="18"/>
      <c r="AC21" s="18"/>
      <c r="AD21" s="18"/>
      <c r="AE21" s="18"/>
      <c r="AF21" s="18"/>
    </row>
    <row r="22" spans="1:32" ht="61.5" hidden="1" customHeight="1" x14ac:dyDescent="0.15">
      <c r="A22" s="34" t="s">
        <v>250</v>
      </c>
      <c r="B22" s="53">
        <v>2</v>
      </c>
      <c r="C22" s="53">
        <v>5</v>
      </c>
      <c r="D22" s="53">
        <v>7</v>
      </c>
      <c r="E22" s="53">
        <v>7</v>
      </c>
      <c r="F22" s="53">
        <v>3</v>
      </c>
      <c r="G22" s="53">
        <v>5</v>
      </c>
      <c r="H22" s="53">
        <v>6</v>
      </c>
      <c r="I22" s="53">
        <v>6</v>
      </c>
      <c r="J22" s="53">
        <v>7</v>
      </c>
      <c r="K22" s="53">
        <v>7</v>
      </c>
      <c r="L22" s="53">
        <v>2</v>
      </c>
      <c r="M22" s="53">
        <v>5</v>
      </c>
      <c r="N22" s="53">
        <v>6</v>
      </c>
      <c r="O22" s="53">
        <v>6</v>
      </c>
      <c r="P22" s="62">
        <f t="shared" si="1"/>
        <v>74</v>
      </c>
      <c r="Q22" s="39" t="s">
        <v>223</v>
      </c>
      <c r="R22" s="18"/>
      <c r="S22" s="18"/>
      <c r="T22" s="18"/>
      <c r="U22" s="18"/>
      <c r="V22" s="18"/>
      <c r="W22" s="18"/>
      <c r="X22" s="18"/>
      <c r="Y22" s="18"/>
      <c r="Z22" s="18"/>
      <c r="AA22" s="18"/>
      <c r="AB22" s="18"/>
      <c r="AC22" s="18"/>
      <c r="AD22" s="18"/>
      <c r="AE22" s="18"/>
      <c r="AF22" s="18"/>
    </row>
    <row r="23" spans="1:32" ht="43.5" hidden="1" customHeight="1" x14ac:dyDescent="0.15">
      <c r="A23" s="34" t="s">
        <v>251</v>
      </c>
      <c r="B23" s="53">
        <v>6</v>
      </c>
      <c r="C23" s="53">
        <v>3</v>
      </c>
      <c r="D23" s="53">
        <v>4</v>
      </c>
      <c r="E23" s="53">
        <v>5</v>
      </c>
      <c r="F23" s="53">
        <v>5</v>
      </c>
      <c r="G23" s="53">
        <v>5</v>
      </c>
      <c r="H23" s="53">
        <v>6</v>
      </c>
      <c r="I23" s="53">
        <v>5</v>
      </c>
      <c r="J23" s="53">
        <v>7</v>
      </c>
      <c r="K23" s="53">
        <v>7</v>
      </c>
      <c r="L23" s="53">
        <v>4</v>
      </c>
      <c r="M23" s="53">
        <v>4</v>
      </c>
      <c r="N23" s="53">
        <v>4</v>
      </c>
      <c r="O23" s="53">
        <v>5</v>
      </c>
      <c r="P23" s="62">
        <f t="shared" si="1"/>
        <v>70</v>
      </c>
      <c r="Q23" s="39" t="s">
        <v>223</v>
      </c>
      <c r="R23" s="18"/>
      <c r="S23" s="18"/>
      <c r="T23" s="18"/>
      <c r="U23" s="18"/>
      <c r="V23" s="18"/>
      <c r="W23" s="18"/>
      <c r="X23" s="18"/>
      <c r="Y23" s="18"/>
      <c r="Z23" s="18"/>
      <c r="AA23" s="18"/>
      <c r="AB23" s="18"/>
      <c r="AC23" s="18"/>
      <c r="AD23" s="18"/>
      <c r="AE23" s="18"/>
      <c r="AF23" s="18"/>
    </row>
    <row r="24" spans="1:32" hidden="1" x14ac:dyDescent="0.15">
      <c r="A24" s="34" t="s">
        <v>252</v>
      </c>
      <c r="B24" s="53">
        <v>3</v>
      </c>
      <c r="C24" s="53">
        <v>5</v>
      </c>
      <c r="D24" s="53">
        <v>3</v>
      </c>
      <c r="E24" s="53">
        <v>6</v>
      </c>
      <c r="F24" s="53">
        <v>2</v>
      </c>
      <c r="G24" s="53">
        <v>5</v>
      </c>
      <c r="H24" s="53">
        <v>5</v>
      </c>
      <c r="I24" s="53">
        <v>6</v>
      </c>
      <c r="J24" s="53">
        <v>7</v>
      </c>
      <c r="K24" s="53">
        <v>7</v>
      </c>
      <c r="L24" s="53">
        <v>5</v>
      </c>
      <c r="M24" s="53">
        <v>3</v>
      </c>
      <c r="N24" s="53">
        <v>6</v>
      </c>
      <c r="O24" s="53">
        <v>5</v>
      </c>
      <c r="P24" s="62">
        <f t="shared" si="1"/>
        <v>68</v>
      </c>
      <c r="Q24" s="39" t="s">
        <v>223</v>
      </c>
      <c r="R24" s="18"/>
      <c r="S24" s="18"/>
      <c r="T24" s="18"/>
      <c r="U24" s="18"/>
      <c r="V24" s="18"/>
      <c r="W24" s="18"/>
      <c r="X24" s="18"/>
      <c r="Y24" s="18"/>
      <c r="Z24" s="18"/>
      <c r="AA24" s="18"/>
      <c r="AB24" s="18"/>
      <c r="AC24" s="18"/>
      <c r="AD24" s="18"/>
      <c r="AE24" s="18"/>
      <c r="AF24" s="18"/>
    </row>
    <row r="25" spans="1:32" hidden="1" x14ac:dyDescent="0.15">
      <c r="A25" s="34" t="s">
        <v>253</v>
      </c>
      <c r="B25" s="53">
        <v>7</v>
      </c>
      <c r="C25" s="53">
        <v>4</v>
      </c>
      <c r="D25" s="53">
        <v>1</v>
      </c>
      <c r="E25" s="53">
        <v>1</v>
      </c>
      <c r="F25" s="53">
        <v>5</v>
      </c>
      <c r="G25" s="53">
        <v>7</v>
      </c>
      <c r="H25" s="53">
        <v>6</v>
      </c>
      <c r="I25" s="53">
        <v>4</v>
      </c>
      <c r="J25" s="53">
        <v>7</v>
      </c>
      <c r="K25" s="53">
        <v>6</v>
      </c>
      <c r="L25" s="53">
        <v>5</v>
      </c>
      <c r="M25" s="53">
        <v>5</v>
      </c>
      <c r="N25" s="53">
        <v>2</v>
      </c>
      <c r="O25" s="53">
        <v>5</v>
      </c>
      <c r="P25" s="62">
        <f t="shared" si="1"/>
        <v>65</v>
      </c>
      <c r="Q25" s="39" t="s">
        <v>223</v>
      </c>
      <c r="R25" s="18"/>
      <c r="S25" s="18"/>
      <c r="T25" s="18"/>
      <c r="U25" s="18"/>
      <c r="V25" s="18"/>
      <c r="W25" s="18"/>
      <c r="X25" s="18"/>
      <c r="Y25" s="18"/>
      <c r="Z25" s="18"/>
      <c r="AA25" s="18"/>
      <c r="AB25" s="18"/>
      <c r="AC25" s="18"/>
      <c r="AD25" s="18"/>
      <c r="AE25" s="18"/>
      <c r="AF25" s="18"/>
    </row>
    <row r="26" spans="1:32" hidden="1" x14ac:dyDescent="0.15">
      <c r="A26" s="34" t="s">
        <v>255</v>
      </c>
      <c r="B26" s="53">
        <v>2</v>
      </c>
      <c r="C26" s="53">
        <v>5</v>
      </c>
      <c r="D26" s="53">
        <v>1</v>
      </c>
      <c r="E26" s="53">
        <v>5</v>
      </c>
      <c r="F26" s="53">
        <v>3</v>
      </c>
      <c r="G26" s="53">
        <v>5</v>
      </c>
      <c r="H26" s="53">
        <v>6</v>
      </c>
      <c r="I26" s="53">
        <v>6</v>
      </c>
      <c r="J26" s="53">
        <v>7</v>
      </c>
      <c r="K26" s="53">
        <v>7</v>
      </c>
      <c r="L26" s="53">
        <v>1</v>
      </c>
      <c r="M26" s="53">
        <v>5</v>
      </c>
      <c r="N26" s="53">
        <v>4</v>
      </c>
      <c r="O26" s="53">
        <v>6</v>
      </c>
      <c r="P26" s="62">
        <f t="shared" si="1"/>
        <v>63</v>
      </c>
      <c r="Q26" s="39" t="s">
        <v>223</v>
      </c>
      <c r="R26" s="18"/>
      <c r="S26" s="18"/>
      <c r="T26" s="18"/>
      <c r="U26" s="18"/>
      <c r="V26" s="18"/>
      <c r="W26" s="18"/>
      <c r="X26" s="18"/>
      <c r="Y26" s="18"/>
      <c r="Z26" s="18"/>
      <c r="AA26" s="18"/>
      <c r="AB26" s="18"/>
      <c r="AC26" s="18"/>
      <c r="AD26" s="18"/>
      <c r="AE26" s="18"/>
      <c r="AF26" s="18"/>
    </row>
  </sheetData>
  <autoFilter ref="Q1:Q26" xr:uid="{13CC3C64-2729-CC40-B109-F9413C1D0C4E}">
    <filterColumn colId="0">
      <filters>
        <filter val="Active"/>
      </filters>
    </filterColumn>
  </autoFilter>
  <sortState xmlns:xlrd2="http://schemas.microsoft.com/office/spreadsheetml/2017/richdata2" ref="A2:P4">
    <sortCondition descending="1" ref="P2:P4"/>
  </sortState>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B2662-1475-4A49-BD66-5B8B68CAAB38}">
  <dimension ref="A1:DN27"/>
  <sheetViews>
    <sheetView zoomScaleNormal="100" workbookViewId="0">
      <pane xSplit="1" topLeftCell="P1" activePane="topRight" state="frozen"/>
      <selection pane="topRight" activeCell="A2" sqref="A2"/>
    </sheetView>
  </sheetViews>
  <sheetFormatPr defaultColWidth="11.4609375" defaultRowHeight="12.75" x14ac:dyDescent="0.15"/>
  <cols>
    <col min="1" max="1" width="50.83984375" style="32" customWidth="1"/>
    <col min="2" max="3" width="50.83984375" style="32" hidden="1" customWidth="1"/>
    <col min="4" max="15" width="0" hidden="1" customWidth="1"/>
    <col min="16" max="16" width="24.8125" style="61" bestFit="1" customWidth="1"/>
    <col min="17" max="17" width="21.3046875" bestFit="1" customWidth="1"/>
  </cols>
  <sheetData>
    <row r="1" spans="1:118" s="58" customFormat="1" ht="13.5" x14ac:dyDescent="0.15">
      <c r="A1" s="59" t="s">
        <v>226</v>
      </c>
      <c r="P1" s="50" t="s">
        <v>224</v>
      </c>
      <c r="Q1" s="50" t="s">
        <v>225</v>
      </c>
      <c r="R1" s="13">
        <v>45658</v>
      </c>
      <c r="S1" s="13">
        <v>45664</v>
      </c>
      <c r="T1" s="73">
        <v>45671</v>
      </c>
      <c r="U1" s="13">
        <v>45658</v>
      </c>
      <c r="V1" s="13">
        <v>45664</v>
      </c>
      <c r="W1" s="73">
        <v>45671</v>
      </c>
      <c r="X1" s="13">
        <v>45658</v>
      </c>
      <c r="Y1" s="13">
        <v>45664</v>
      </c>
      <c r="Z1" s="73">
        <v>45671</v>
      </c>
      <c r="AA1" s="13">
        <v>45658</v>
      </c>
      <c r="AB1" s="13">
        <v>45664</v>
      </c>
      <c r="AC1" s="73">
        <v>45671</v>
      </c>
      <c r="AD1" s="13">
        <v>45658</v>
      </c>
      <c r="AE1" s="13">
        <v>45664</v>
      </c>
      <c r="AF1" s="73">
        <v>45671</v>
      </c>
    </row>
    <row r="2" spans="1:118" ht="37.5" x14ac:dyDescent="0.15">
      <c r="A2" s="34" t="s">
        <v>230</v>
      </c>
      <c r="B2" s="53">
        <v>7</v>
      </c>
      <c r="C2" s="53">
        <v>6</v>
      </c>
      <c r="D2" s="53">
        <v>7</v>
      </c>
      <c r="E2" s="53">
        <v>7</v>
      </c>
      <c r="F2" s="53">
        <v>5</v>
      </c>
      <c r="G2" s="53">
        <v>7</v>
      </c>
      <c r="H2" s="53">
        <v>7</v>
      </c>
      <c r="I2" s="53">
        <v>7</v>
      </c>
      <c r="J2" s="53">
        <v>7</v>
      </c>
      <c r="K2" s="53">
        <v>7</v>
      </c>
      <c r="L2" s="53">
        <v>5</v>
      </c>
      <c r="M2" s="53">
        <v>6</v>
      </c>
      <c r="N2" s="53">
        <v>6</v>
      </c>
      <c r="O2" s="53">
        <v>6</v>
      </c>
      <c r="P2" s="62">
        <f t="shared" ref="P2:P9" si="0">SUM(B2:O2)</f>
        <v>90</v>
      </c>
      <c r="Q2" s="39" t="s">
        <v>222</v>
      </c>
      <c r="R2" s="18"/>
      <c r="S2" s="18"/>
      <c r="T2" s="18"/>
      <c r="U2" s="18"/>
      <c r="V2" s="18"/>
      <c r="W2" s="18"/>
      <c r="X2" s="18"/>
      <c r="Y2" s="18"/>
      <c r="Z2" s="18"/>
      <c r="AA2" s="18"/>
      <c r="AB2" s="18"/>
      <c r="AC2" s="18"/>
      <c r="AD2" s="18"/>
      <c r="AE2" s="18"/>
      <c r="AF2" s="18"/>
    </row>
    <row r="3" spans="1:118" ht="115.5" x14ac:dyDescent="0.15">
      <c r="A3" s="34" t="s">
        <v>256</v>
      </c>
      <c r="B3" s="53">
        <v>7</v>
      </c>
      <c r="C3" s="53">
        <v>6</v>
      </c>
      <c r="D3" s="53">
        <v>7</v>
      </c>
      <c r="E3" s="53">
        <v>7</v>
      </c>
      <c r="F3" s="53">
        <v>2</v>
      </c>
      <c r="G3" s="53">
        <v>5</v>
      </c>
      <c r="H3" s="53">
        <v>7</v>
      </c>
      <c r="I3" s="53">
        <v>5</v>
      </c>
      <c r="J3" s="53">
        <v>7</v>
      </c>
      <c r="K3" s="53">
        <v>7</v>
      </c>
      <c r="L3" s="53">
        <v>6</v>
      </c>
      <c r="M3" s="53">
        <v>5</v>
      </c>
      <c r="N3" s="53">
        <v>7</v>
      </c>
      <c r="O3" s="53">
        <v>5</v>
      </c>
      <c r="P3" s="39">
        <f t="shared" si="0"/>
        <v>83</v>
      </c>
      <c r="Q3" s="39" t="s">
        <v>222</v>
      </c>
      <c r="R3" s="18"/>
      <c r="S3" s="18"/>
      <c r="T3" s="18"/>
      <c r="U3" s="18"/>
      <c r="V3" s="18"/>
      <c r="W3" s="18"/>
      <c r="X3" s="18"/>
      <c r="Y3" s="18"/>
      <c r="Z3" s="18"/>
      <c r="AA3" s="18"/>
      <c r="AB3" s="18"/>
      <c r="AC3" s="18"/>
      <c r="AD3" s="18"/>
      <c r="AE3" s="18"/>
      <c r="AF3" s="18"/>
    </row>
    <row r="4" spans="1:118" ht="35.25" x14ac:dyDescent="0.15">
      <c r="A4" s="34" t="s">
        <v>231</v>
      </c>
      <c r="B4" s="53">
        <v>6</v>
      </c>
      <c r="C4" s="53">
        <v>6</v>
      </c>
      <c r="D4" s="53">
        <v>7</v>
      </c>
      <c r="E4" s="53">
        <v>7</v>
      </c>
      <c r="F4" s="53">
        <v>6</v>
      </c>
      <c r="G4" s="53">
        <v>6</v>
      </c>
      <c r="H4" s="53">
        <v>7</v>
      </c>
      <c r="I4" s="53">
        <v>7</v>
      </c>
      <c r="J4" s="53">
        <v>7</v>
      </c>
      <c r="K4" s="53">
        <v>7</v>
      </c>
      <c r="L4" s="53">
        <v>7</v>
      </c>
      <c r="M4" s="53">
        <v>6</v>
      </c>
      <c r="N4" s="53">
        <v>5</v>
      </c>
      <c r="O4" s="53">
        <v>6</v>
      </c>
      <c r="P4" s="62">
        <f t="shared" si="0"/>
        <v>90</v>
      </c>
      <c r="Q4" s="39" t="s">
        <v>222</v>
      </c>
      <c r="R4" s="18"/>
      <c r="S4" s="18"/>
      <c r="T4" s="18"/>
      <c r="U4" s="18"/>
      <c r="V4" s="18"/>
      <c r="W4" s="18"/>
      <c r="X4" s="18"/>
      <c r="Y4" s="18"/>
      <c r="Z4" s="18"/>
      <c r="AA4" s="18"/>
      <c r="AB4" s="18"/>
      <c r="AC4" s="18"/>
      <c r="AD4" s="18"/>
      <c r="AE4" s="18"/>
      <c r="AF4" s="18"/>
    </row>
    <row r="5" spans="1:118" ht="58.5" x14ac:dyDescent="0.15">
      <c r="A5" s="34" t="s">
        <v>257</v>
      </c>
      <c r="B5" s="53">
        <v>7</v>
      </c>
      <c r="C5" s="53">
        <v>4</v>
      </c>
      <c r="D5" s="53">
        <v>4</v>
      </c>
      <c r="E5" s="53">
        <v>3</v>
      </c>
      <c r="F5" s="53">
        <v>5</v>
      </c>
      <c r="G5" s="53">
        <v>5</v>
      </c>
      <c r="H5" s="53">
        <v>7</v>
      </c>
      <c r="I5" s="53">
        <v>7</v>
      </c>
      <c r="J5" s="53">
        <v>7</v>
      </c>
      <c r="K5" s="53">
        <v>6</v>
      </c>
      <c r="L5" s="53">
        <v>3</v>
      </c>
      <c r="M5" s="53">
        <v>5</v>
      </c>
      <c r="N5" s="53">
        <v>7</v>
      </c>
      <c r="O5" s="53">
        <v>5</v>
      </c>
      <c r="P5" s="39">
        <f t="shared" si="0"/>
        <v>75</v>
      </c>
      <c r="Q5" s="39" t="s">
        <v>222</v>
      </c>
      <c r="R5" s="18"/>
      <c r="S5" s="18"/>
      <c r="T5" s="18"/>
      <c r="U5" s="18"/>
      <c r="V5" s="18"/>
      <c r="W5" s="18"/>
      <c r="X5" s="18"/>
      <c r="Y5" s="18"/>
      <c r="Z5" s="18"/>
      <c r="AA5" s="18"/>
      <c r="AB5" s="18"/>
      <c r="AC5" s="18"/>
      <c r="AD5" s="18"/>
      <c r="AE5" s="18"/>
      <c r="AF5" s="18"/>
    </row>
    <row r="6" spans="1:118" ht="35.25" x14ac:dyDescent="0.15">
      <c r="A6" s="68" t="s">
        <v>258</v>
      </c>
      <c r="B6" s="65">
        <v>6</v>
      </c>
      <c r="C6" s="65">
        <v>3</v>
      </c>
      <c r="D6" s="65">
        <v>5</v>
      </c>
      <c r="E6" s="65">
        <v>7</v>
      </c>
      <c r="F6" s="65">
        <v>5</v>
      </c>
      <c r="G6" s="65">
        <v>4</v>
      </c>
      <c r="H6" s="65">
        <v>7</v>
      </c>
      <c r="I6" s="65">
        <v>7</v>
      </c>
      <c r="J6" s="65">
        <v>7</v>
      </c>
      <c r="K6" s="65">
        <v>6</v>
      </c>
      <c r="L6" s="65">
        <v>7</v>
      </c>
      <c r="M6" s="65">
        <v>5</v>
      </c>
      <c r="N6" s="65">
        <v>6</v>
      </c>
      <c r="O6" s="65">
        <v>4</v>
      </c>
      <c r="P6" s="70">
        <f t="shared" si="0"/>
        <v>79</v>
      </c>
      <c r="Q6" s="39" t="s">
        <v>222</v>
      </c>
      <c r="R6" s="18"/>
      <c r="S6" s="18"/>
      <c r="T6" s="18"/>
      <c r="U6" s="18"/>
      <c r="V6" s="18"/>
      <c r="W6" s="18"/>
      <c r="X6" s="18"/>
      <c r="Y6" s="18"/>
      <c r="Z6" s="18"/>
      <c r="AA6" s="18"/>
      <c r="AB6" s="18"/>
      <c r="AC6" s="18"/>
      <c r="AD6" s="18"/>
      <c r="AE6" s="18"/>
      <c r="AF6" s="18"/>
    </row>
    <row r="7" spans="1:118" s="15" customFormat="1" ht="58.5" x14ac:dyDescent="0.15">
      <c r="A7" s="69" t="s">
        <v>259</v>
      </c>
      <c r="B7" s="66">
        <v>3</v>
      </c>
      <c r="C7" s="67">
        <v>5</v>
      </c>
      <c r="D7" s="66">
        <v>4</v>
      </c>
      <c r="E7" s="67">
        <v>6</v>
      </c>
      <c r="F7" s="66">
        <v>3</v>
      </c>
      <c r="G7" s="67">
        <v>6</v>
      </c>
      <c r="H7" s="66">
        <v>6</v>
      </c>
      <c r="I7" s="67">
        <v>4</v>
      </c>
      <c r="J7" s="66">
        <v>7</v>
      </c>
      <c r="K7" s="67">
        <v>6</v>
      </c>
      <c r="L7" s="66">
        <v>5</v>
      </c>
      <c r="M7" s="67">
        <v>5</v>
      </c>
      <c r="N7" s="66">
        <v>6</v>
      </c>
      <c r="O7" s="67">
        <v>6</v>
      </c>
      <c r="P7" s="71">
        <f t="shared" si="0"/>
        <v>72</v>
      </c>
      <c r="Q7" s="39" t="s">
        <v>222</v>
      </c>
      <c r="R7" s="18"/>
      <c r="S7" s="18"/>
      <c r="T7" s="18"/>
      <c r="U7" s="18"/>
      <c r="V7" s="18"/>
      <c r="W7" s="18"/>
      <c r="X7" s="18"/>
      <c r="Y7" s="18"/>
      <c r="Z7" s="18"/>
      <c r="AA7" s="18"/>
      <c r="AB7" s="18"/>
      <c r="AC7" s="18"/>
      <c r="AD7" s="18"/>
      <c r="AE7" s="18"/>
      <c r="AF7" s="18"/>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row>
    <row r="8" spans="1:118" ht="35.25" x14ac:dyDescent="0.15">
      <c r="A8" s="34" t="s">
        <v>239</v>
      </c>
      <c r="B8" s="53">
        <v>1</v>
      </c>
      <c r="C8" s="53">
        <v>5</v>
      </c>
      <c r="D8" s="53">
        <v>7</v>
      </c>
      <c r="E8" s="53">
        <v>5</v>
      </c>
      <c r="F8" s="53">
        <v>4</v>
      </c>
      <c r="G8" s="53">
        <v>5</v>
      </c>
      <c r="H8" s="53">
        <v>6</v>
      </c>
      <c r="I8" s="53">
        <v>5</v>
      </c>
      <c r="J8" s="53">
        <v>7</v>
      </c>
      <c r="K8" s="53">
        <v>7</v>
      </c>
      <c r="L8" s="53">
        <v>1</v>
      </c>
      <c r="M8" s="53">
        <v>5</v>
      </c>
      <c r="N8" s="53">
        <v>3</v>
      </c>
      <c r="O8" s="53">
        <v>6</v>
      </c>
      <c r="P8" s="62">
        <f t="shared" si="0"/>
        <v>67</v>
      </c>
      <c r="Q8" s="39" t="s">
        <v>223</v>
      </c>
      <c r="R8" s="18"/>
      <c r="S8" s="18"/>
      <c r="T8" s="18"/>
      <c r="U8" s="18"/>
      <c r="V8" s="18"/>
      <c r="W8" s="18"/>
      <c r="X8" s="18"/>
      <c r="Y8" s="18"/>
      <c r="Z8" s="18"/>
      <c r="AA8" s="18"/>
      <c r="AB8" s="18"/>
      <c r="AC8" s="18"/>
      <c r="AD8" s="18"/>
      <c r="AE8" s="18"/>
      <c r="AF8" s="18"/>
    </row>
    <row r="9" spans="1:118" ht="35.25" x14ac:dyDescent="0.15">
      <c r="A9" s="34" t="s">
        <v>254</v>
      </c>
      <c r="B9" s="53">
        <v>7</v>
      </c>
      <c r="C9" s="53">
        <v>1</v>
      </c>
      <c r="D9" s="53">
        <v>6</v>
      </c>
      <c r="E9" s="53">
        <v>5</v>
      </c>
      <c r="F9" s="53">
        <v>5</v>
      </c>
      <c r="G9" s="53">
        <v>3</v>
      </c>
      <c r="H9" s="53">
        <v>6</v>
      </c>
      <c r="I9" s="53">
        <v>7</v>
      </c>
      <c r="J9" s="53">
        <v>4</v>
      </c>
      <c r="K9" s="53">
        <v>2</v>
      </c>
      <c r="L9" s="53">
        <v>7</v>
      </c>
      <c r="M9" s="53">
        <v>6</v>
      </c>
      <c r="N9" s="53">
        <v>3</v>
      </c>
      <c r="O9" s="53">
        <v>3</v>
      </c>
      <c r="P9" s="62">
        <f t="shared" si="0"/>
        <v>65</v>
      </c>
      <c r="Q9" s="39" t="s">
        <v>223</v>
      </c>
      <c r="R9" s="18"/>
      <c r="S9" s="18"/>
      <c r="T9" s="18"/>
      <c r="U9" s="18"/>
      <c r="V9" s="18"/>
      <c r="W9" s="18"/>
      <c r="X9" s="18"/>
      <c r="Y9" s="18"/>
      <c r="Z9" s="18"/>
      <c r="AA9" s="18"/>
      <c r="AB9" s="18"/>
      <c r="AC9" s="18"/>
      <c r="AD9" s="18"/>
      <c r="AE9" s="18"/>
      <c r="AF9" s="18"/>
    </row>
    <row r="10" spans="1:118" x14ac:dyDescent="0.15">
      <c r="A10" s="33" t="s">
        <v>202</v>
      </c>
      <c r="B10" s="33"/>
      <c r="C10" s="33"/>
      <c r="D10" s="18"/>
      <c r="E10" s="18"/>
      <c r="F10" s="18"/>
      <c r="G10" s="18"/>
      <c r="H10" s="18"/>
      <c r="I10" s="18"/>
      <c r="J10" s="18"/>
      <c r="K10" s="18"/>
      <c r="L10" s="18"/>
      <c r="M10" s="18"/>
      <c r="N10" s="18"/>
      <c r="O10" s="18"/>
      <c r="P10" s="72"/>
      <c r="Q10" s="39" t="s">
        <v>222</v>
      </c>
      <c r="R10" s="18"/>
      <c r="S10" s="18"/>
      <c r="T10" s="18"/>
      <c r="U10" s="18"/>
      <c r="V10" s="18"/>
      <c r="W10" s="18"/>
      <c r="X10" s="18"/>
      <c r="Y10" s="18"/>
      <c r="Z10" s="18"/>
      <c r="AA10" s="18"/>
      <c r="AB10" s="18"/>
      <c r="AC10" s="18"/>
      <c r="AD10" s="18"/>
      <c r="AE10" s="18"/>
      <c r="AF10" s="18"/>
    </row>
    <row r="11" spans="1:118" ht="24" x14ac:dyDescent="0.15">
      <c r="A11" s="29" t="s">
        <v>260</v>
      </c>
      <c r="B11" s="29"/>
      <c r="C11" s="29"/>
      <c r="D11" s="18"/>
      <c r="E11" s="18"/>
      <c r="F11" s="18"/>
      <c r="G11" s="18"/>
      <c r="H11" s="18"/>
      <c r="I11" s="18"/>
      <c r="J11" s="18"/>
      <c r="K11" s="18"/>
      <c r="L11" s="18"/>
      <c r="M11" s="18"/>
      <c r="N11" s="18"/>
      <c r="O11" s="18"/>
      <c r="P11" s="72"/>
      <c r="Q11" s="39" t="s">
        <v>222</v>
      </c>
      <c r="R11" s="18"/>
      <c r="S11" s="18"/>
      <c r="T11" s="18"/>
      <c r="U11" s="18"/>
      <c r="V11" s="18"/>
      <c r="W11" s="18"/>
      <c r="X11" s="18"/>
      <c r="Y11" s="18"/>
      <c r="Z11" s="18"/>
      <c r="AA11" s="18"/>
      <c r="AB11" s="18"/>
      <c r="AC11" s="18"/>
      <c r="AD11" s="18"/>
      <c r="AE11" s="18"/>
      <c r="AF11" s="18"/>
    </row>
    <row r="12" spans="1:118" x14ac:dyDescent="0.15">
      <c r="A12" s="34" t="s">
        <v>227</v>
      </c>
      <c r="B12" s="18"/>
      <c r="C12" s="18"/>
      <c r="D12" s="18"/>
      <c r="E12" s="18"/>
      <c r="F12" s="18"/>
      <c r="G12" s="18"/>
      <c r="H12" s="18"/>
      <c r="I12" s="18"/>
      <c r="J12" s="18"/>
      <c r="K12" s="18"/>
      <c r="L12" s="18"/>
      <c r="M12" s="18"/>
      <c r="N12" s="18"/>
      <c r="O12" s="18"/>
      <c r="P12" s="63"/>
      <c r="Q12" s="39" t="s">
        <v>222</v>
      </c>
      <c r="R12" s="18"/>
      <c r="S12" s="18"/>
      <c r="T12" s="18"/>
      <c r="U12" s="18"/>
      <c r="V12" s="18"/>
      <c r="W12" s="18"/>
      <c r="X12" s="18"/>
      <c r="Y12" s="18"/>
      <c r="Z12" s="18"/>
      <c r="AA12" s="18"/>
      <c r="AB12" s="18"/>
      <c r="AC12" s="18"/>
      <c r="AD12" s="18"/>
      <c r="AE12" s="18"/>
      <c r="AF12" s="18"/>
    </row>
    <row r="13" spans="1:118" ht="14.25" x14ac:dyDescent="0.15">
      <c r="A13" s="64" t="s">
        <v>228</v>
      </c>
      <c r="B13" s="53"/>
      <c r="C13" s="53"/>
      <c r="D13" s="53"/>
      <c r="E13" s="53"/>
      <c r="F13" s="53"/>
      <c r="G13" s="53"/>
      <c r="H13" s="53"/>
      <c r="I13" s="53"/>
      <c r="J13" s="53"/>
      <c r="K13" s="53"/>
      <c r="L13" s="53"/>
      <c r="M13" s="53"/>
      <c r="N13" s="53"/>
      <c r="O13" s="53"/>
      <c r="P13" s="62"/>
      <c r="Q13" s="39"/>
      <c r="R13" s="18"/>
      <c r="S13" s="18"/>
      <c r="T13" s="18"/>
      <c r="U13" s="18"/>
      <c r="V13" s="18"/>
      <c r="W13" s="18"/>
      <c r="X13" s="18"/>
      <c r="Y13" s="18"/>
      <c r="Z13" s="18"/>
      <c r="AA13" s="18"/>
      <c r="AB13" s="18"/>
      <c r="AC13" s="18"/>
      <c r="AD13" s="18"/>
      <c r="AE13" s="18"/>
      <c r="AF13" s="18"/>
    </row>
    <row r="14" spans="1:118" ht="35.25" x14ac:dyDescent="0.15">
      <c r="A14" s="34" t="s">
        <v>241</v>
      </c>
      <c r="B14" s="53">
        <v>6</v>
      </c>
      <c r="C14" s="53">
        <v>5</v>
      </c>
      <c r="D14" s="53">
        <v>2</v>
      </c>
      <c r="E14" s="53">
        <v>5</v>
      </c>
      <c r="F14" s="53">
        <v>7</v>
      </c>
      <c r="G14" s="53">
        <v>7</v>
      </c>
      <c r="H14" s="53">
        <v>7</v>
      </c>
      <c r="I14" s="53">
        <v>6</v>
      </c>
      <c r="J14" s="53">
        <v>7</v>
      </c>
      <c r="K14" s="53">
        <v>7</v>
      </c>
      <c r="L14" s="53">
        <v>7</v>
      </c>
      <c r="M14" s="53">
        <v>5</v>
      </c>
      <c r="N14" s="53">
        <v>7</v>
      </c>
      <c r="O14" s="53">
        <v>6</v>
      </c>
      <c r="P14" s="62">
        <f>SUM(B14:O14)</f>
        <v>84</v>
      </c>
      <c r="Q14" s="39" t="s">
        <v>222</v>
      </c>
      <c r="R14" s="18"/>
      <c r="S14" s="18"/>
      <c r="T14" s="18"/>
      <c r="U14" s="18"/>
      <c r="V14" s="18"/>
      <c r="W14" s="18"/>
      <c r="X14" s="18"/>
      <c r="Y14" s="18"/>
      <c r="Z14" s="18"/>
      <c r="AA14" s="18"/>
      <c r="AB14" s="18"/>
      <c r="AC14" s="18"/>
      <c r="AD14" s="18"/>
      <c r="AE14" s="18"/>
      <c r="AF14" s="18"/>
    </row>
    <row r="15" spans="1:118" ht="24" x14ac:dyDescent="0.15">
      <c r="A15" s="34" t="s">
        <v>242</v>
      </c>
      <c r="B15" s="53">
        <v>5</v>
      </c>
      <c r="C15" s="53">
        <v>5</v>
      </c>
      <c r="D15" s="53">
        <v>7</v>
      </c>
      <c r="E15" s="53">
        <v>6</v>
      </c>
      <c r="F15" s="53">
        <v>6</v>
      </c>
      <c r="G15" s="53">
        <v>7</v>
      </c>
      <c r="H15" s="53">
        <v>6</v>
      </c>
      <c r="I15" s="53">
        <v>6</v>
      </c>
      <c r="J15" s="53">
        <v>7</v>
      </c>
      <c r="K15" s="53">
        <v>7</v>
      </c>
      <c r="L15" s="53">
        <v>5</v>
      </c>
      <c r="M15" s="53">
        <v>5</v>
      </c>
      <c r="N15" s="53">
        <v>6</v>
      </c>
      <c r="O15" s="53">
        <v>5</v>
      </c>
      <c r="P15" s="62">
        <f>SUM(B15:O15)</f>
        <v>83</v>
      </c>
      <c r="Q15" s="39" t="s">
        <v>222</v>
      </c>
      <c r="R15" s="18"/>
      <c r="S15" s="18"/>
      <c r="T15" s="18"/>
      <c r="U15" s="18"/>
      <c r="V15" s="18"/>
      <c r="W15" s="18"/>
      <c r="X15" s="18"/>
      <c r="Y15" s="18"/>
      <c r="Z15" s="18"/>
      <c r="AA15" s="18"/>
      <c r="AB15" s="18"/>
      <c r="AC15" s="18"/>
      <c r="AD15" s="18"/>
      <c r="AE15" s="18"/>
      <c r="AF15" s="18"/>
    </row>
    <row r="16" spans="1:118" ht="24" x14ac:dyDescent="0.15">
      <c r="A16" s="34" t="s">
        <v>243</v>
      </c>
      <c r="B16" s="53">
        <v>3</v>
      </c>
      <c r="C16" s="53">
        <v>3</v>
      </c>
      <c r="D16" s="53">
        <v>7</v>
      </c>
      <c r="E16" s="53">
        <v>7</v>
      </c>
      <c r="F16" s="53">
        <v>5</v>
      </c>
      <c r="G16" s="53">
        <v>6</v>
      </c>
      <c r="H16" s="53">
        <v>7</v>
      </c>
      <c r="I16" s="53">
        <v>5</v>
      </c>
      <c r="J16" s="53">
        <v>7</v>
      </c>
      <c r="K16" s="53">
        <v>7</v>
      </c>
      <c r="L16" s="53">
        <v>7</v>
      </c>
      <c r="M16" s="53">
        <v>5</v>
      </c>
      <c r="N16" s="53">
        <v>6</v>
      </c>
      <c r="O16" s="53">
        <v>6</v>
      </c>
      <c r="P16" s="62">
        <f>SUM(B16:O16)</f>
        <v>81</v>
      </c>
      <c r="Q16" s="39" t="s">
        <v>222</v>
      </c>
      <c r="R16" s="18"/>
      <c r="S16" s="18"/>
      <c r="T16" s="18"/>
      <c r="U16" s="18"/>
      <c r="V16" s="18"/>
      <c r="W16" s="18"/>
      <c r="X16" s="18"/>
      <c r="Y16" s="18"/>
      <c r="Z16" s="18"/>
      <c r="AA16" s="18"/>
      <c r="AB16" s="18"/>
      <c r="AC16" s="18"/>
      <c r="AD16" s="18"/>
      <c r="AE16" s="18"/>
      <c r="AF16" s="18"/>
    </row>
    <row r="17" spans="1:32" ht="24" x14ac:dyDescent="0.15">
      <c r="A17" s="34" t="s">
        <v>244</v>
      </c>
      <c r="B17" s="53">
        <v>7</v>
      </c>
      <c r="C17" s="53">
        <v>1</v>
      </c>
      <c r="D17" s="53">
        <v>4</v>
      </c>
      <c r="E17" s="53">
        <v>7</v>
      </c>
      <c r="F17" s="53">
        <v>6</v>
      </c>
      <c r="G17" s="53">
        <v>6</v>
      </c>
      <c r="H17" s="53">
        <v>7</v>
      </c>
      <c r="I17" s="53">
        <v>7</v>
      </c>
      <c r="J17" s="53">
        <v>7</v>
      </c>
      <c r="K17" s="53">
        <v>6</v>
      </c>
      <c r="L17" s="53">
        <v>7</v>
      </c>
      <c r="M17" s="53">
        <v>5</v>
      </c>
      <c r="N17" s="53">
        <v>5</v>
      </c>
      <c r="O17" s="53">
        <v>6</v>
      </c>
      <c r="P17" s="62">
        <f>SUM(B17:O17)</f>
        <v>81</v>
      </c>
      <c r="Q17" s="39" t="s">
        <v>223</v>
      </c>
      <c r="R17" s="18"/>
      <c r="S17" s="18"/>
      <c r="T17" s="18"/>
      <c r="U17" s="18"/>
      <c r="V17" s="18"/>
      <c r="W17" s="18"/>
      <c r="X17" s="18"/>
      <c r="Y17" s="18"/>
      <c r="Z17" s="18"/>
      <c r="AA17" s="18"/>
      <c r="AB17" s="18"/>
      <c r="AC17" s="18"/>
      <c r="AD17" s="18"/>
      <c r="AE17" s="18"/>
      <c r="AF17" s="18"/>
    </row>
    <row r="18" spans="1:32" ht="24" x14ac:dyDescent="0.15">
      <c r="A18" s="34" t="s">
        <v>245</v>
      </c>
      <c r="B18" s="53">
        <v>7</v>
      </c>
      <c r="C18" s="53">
        <v>1</v>
      </c>
      <c r="D18" s="53">
        <v>4</v>
      </c>
      <c r="E18" s="53">
        <v>5</v>
      </c>
      <c r="F18" s="53">
        <v>5</v>
      </c>
      <c r="G18" s="53">
        <v>5</v>
      </c>
      <c r="H18" s="53">
        <v>7</v>
      </c>
      <c r="I18" s="53">
        <v>7</v>
      </c>
      <c r="J18" s="53">
        <v>7</v>
      </c>
      <c r="K18" s="53">
        <v>6</v>
      </c>
      <c r="L18" s="53">
        <v>5</v>
      </c>
      <c r="M18" s="53">
        <v>5</v>
      </c>
      <c r="N18" s="53">
        <v>6</v>
      </c>
      <c r="O18" s="53">
        <v>7</v>
      </c>
      <c r="P18" s="62">
        <f>SUM(B18:O18)</f>
        <v>77</v>
      </c>
      <c r="Q18" s="39" t="s">
        <v>223</v>
      </c>
      <c r="R18" s="18"/>
      <c r="S18" s="18"/>
      <c r="T18" s="18"/>
      <c r="U18" s="18"/>
      <c r="V18" s="18"/>
      <c r="W18" s="18"/>
      <c r="X18" s="18"/>
      <c r="Y18" s="18"/>
      <c r="Z18" s="18"/>
      <c r="AA18" s="18"/>
      <c r="AB18" s="18"/>
      <c r="AC18" s="18"/>
      <c r="AD18" s="18"/>
      <c r="AE18" s="18"/>
      <c r="AF18" s="18"/>
    </row>
    <row r="19" spans="1:32" x14ac:dyDescent="0.15">
      <c r="A19" s="34" t="s">
        <v>246</v>
      </c>
      <c r="B19" s="53"/>
      <c r="C19" s="53"/>
      <c r="D19" s="53"/>
      <c r="E19" s="53"/>
      <c r="F19" s="53"/>
      <c r="G19" s="53"/>
      <c r="H19" s="53"/>
      <c r="I19" s="53"/>
      <c r="J19" s="53"/>
      <c r="K19" s="53"/>
      <c r="L19" s="53"/>
      <c r="M19" s="53"/>
      <c r="N19" s="53"/>
      <c r="O19" s="53"/>
      <c r="P19" s="62"/>
      <c r="Q19" s="39" t="s">
        <v>223</v>
      </c>
      <c r="R19" s="18"/>
      <c r="S19" s="18"/>
      <c r="T19" s="18"/>
      <c r="U19" s="18"/>
      <c r="V19" s="18"/>
      <c r="W19" s="18"/>
      <c r="X19" s="18"/>
      <c r="Y19" s="18"/>
      <c r="Z19" s="18"/>
      <c r="AA19" s="18"/>
      <c r="AB19" s="18"/>
      <c r="AC19" s="18"/>
      <c r="AD19" s="18"/>
      <c r="AE19" s="18"/>
      <c r="AF19" s="18"/>
    </row>
    <row r="20" spans="1:32" x14ac:dyDescent="0.15">
      <c r="A20" s="34" t="s">
        <v>247</v>
      </c>
      <c r="B20" s="53"/>
      <c r="C20" s="53"/>
      <c r="D20" s="53"/>
      <c r="E20" s="53"/>
      <c r="F20" s="53"/>
      <c r="G20" s="53"/>
      <c r="H20" s="53"/>
      <c r="I20" s="53"/>
      <c r="J20" s="53"/>
      <c r="K20" s="53"/>
      <c r="L20" s="53"/>
      <c r="M20" s="53"/>
      <c r="N20" s="53"/>
      <c r="O20" s="53"/>
      <c r="P20" s="62"/>
      <c r="Q20" s="39" t="s">
        <v>223</v>
      </c>
      <c r="R20" s="18"/>
      <c r="S20" s="18"/>
      <c r="T20" s="18"/>
      <c r="U20" s="18"/>
      <c r="V20" s="18"/>
      <c r="W20" s="18"/>
      <c r="X20" s="18"/>
      <c r="Y20" s="18"/>
      <c r="Z20" s="18"/>
      <c r="AA20" s="18"/>
      <c r="AB20" s="18"/>
      <c r="AC20" s="18"/>
      <c r="AD20" s="18"/>
      <c r="AE20" s="18"/>
      <c r="AF20" s="18"/>
    </row>
    <row r="21" spans="1:32" ht="24" x14ac:dyDescent="0.15">
      <c r="A21" s="26" t="s">
        <v>248</v>
      </c>
      <c r="B21" s="53"/>
      <c r="C21" s="53"/>
      <c r="D21" s="53"/>
      <c r="E21" s="53"/>
      <c r="F21" s="53"/>
      <c r="G21" s="53"/>
      <c r="H21" s="53"/>
      <c r="I21" s="53"/>
      <c r="J21" s="53"/>
      <c r="K21" s="53"/>
      <c r="L21" s="53"/>
      <c r="M21" s="53"/>
      <c r="N21" s="53"/>
      <c r="O21" s="53"/>
      <c r="P21" s="62"/>
      <c r="Q21" s="39" t="s">
        <v>223</v>
      </c>
      <c r="R21" s="18"/>
      <c r="S21" s="18"/>
      <c r="T21" s="18"/>
      <c r="U21" s="18"/>
      <c r="V21" s="18"/>
      <c r="W21" s="18"/>
      <c r="X21" s="18"/>
      <c r="Y21" s="18"/>
      <c r="Z21" s="18"/>
      <c r="AA21" s="18"/>
      <c r="AB21" s="18"/>
      <c r="AC21" s="18"/>
      <c r="AD21" s="18"/>
      <c r="AE21" s="18"/>
      <c r="AF21" s="18"/>
    </row>
    <row r="22" spans="1:32" ht="46.5" x14ac:dyDescent="0.15">
      <c r="A22" s="34" t="s">
        <v>249</v>
      </c>
      <c r="B22" s="53">
        <v>6</v>
      </c>
      <c r="C22" s="53">
        <v>6</v>
      </c>
      <c r="D22" s="53">
        <v>6</v>
      </c>
      <c r="E22" s="53">
        <v>7</v>
      </c>
      <c r="F22" s="53">
        <v>5</v>
      </c>
      <c r="G22" s="53">
        <v>4</v>
      </c>
      <c r="H22" s="53">
        <v>7</v>
      </c>
      <c r="I22" s="53">
        <v>7</v>
      </c>
      <c r="J22" s="53">
        <v>7</v>
      </c>
      <c r="K22" s="53">
        <v>6</v>
      </c>
      <c r="L22" s="53">
        <v>1</v>
      </c>
      <c r="M22" s="53">
        <v>3</v>
      </c>
      <c r="N22" s="53">
        <v>7</v>
      </c>
      <c r="O22" s="53">
        <v>5</v>
      </c>
      <c r="P22" s="62">
        <f t="shared" ref="P22:P27" si="1">SUM(B22:O22)</f>
        <v>77</v>
      </c>
      <c r="Q22" s="39" t="s">
        <v>223</v>
      </c>
      <c r="R22" s="18"/>
      <c r="S22" s="18"/>
      <c r="T22" s="18"/>
      <c r="U22" s="18"/>
      <c r="V22" s="18"/>
      <c r="W22" s="18"/>
      <c r="X22" s="18"/>
      <c r="Y22" s="18"/>
      <c r="Z22" s="18"/>
      <c r="AA22" s="18"/>
      <c r="AB22" s="18"/>
      <c r="AC22" s="18"/>
      <c r="AD22" s="18"/>
      <c r="AE22" s="18"/>
      <c r="AF22" s="18"/>
    </row>
    <row r="23" spans="1:32" ht="35.25" x14ac:dyDescent="0.15">
      <c r="A23" s="34" t="s">
        <v>250</v>
      </c>
      <c r="B23" s="53">
        <v>2</v>
      </c>
      <c r="C23" s="53">
        <v>5</v>
      </c>
      <c r="D23" s="53">
        <v>7</v>
      </c>
      <c r="E23" s="53">
        <v>7</v>
      </c>
      <c r="F23" s="53">
        <v>3</v>
      </c>
      <c r="G23" s="53">
        <v>5</v>
      </c>
      <c r="H23" s="53">
        <v>6</v>
      </c>
      <c r="I23" s="53">
        <v>6</v>
      </c>
      <c r="J23" s="53">
        <v>7</v>
      </c>
      <c r="K23" s="53">
        <v>7</v>
      </c>
      <c r="L23" s="53">
        <v>2</v>
      </c>
      <c r="M23" s="53">
        <v>5</v>
      </c>
      <c r="N23" s="53">
        <v>6</v>
      </c>
      <c r="O23" s="53">
        <v>6</v>
      </c>
      <c r="P23" s="62">
        <f t="shared" si="1"/>
        <v>74</v>
      </c>
      <c r="Q23" s="39" t="s">
        <v>223</v>
      </c>
      <c r="R23" s="18"/>
      <c r="S23" s="18"/>
      <c r="T23" s="18"/>
      <c r="U23" s="18"/>
      <c r="V23" s="18"/>
      <c r="W23" s="18"/>
      <c r="X23" s="18"/>
      <c r="Y23" s="18"/>
      <c r="Z23" s="18"/>
      <c r="AA23" s="18"/>
      <c r="AB23" s="18"/>
      <c r="AC23" s="18"/>
      <c r="AD23" s="18"/>
      <c r="AE23" s="18"/>
      <c r="AF23" s="18"/>
    </row>
    <row r="24" spans="1:32" ht="43.5" customHeight="1" x14ac:dyDescent="0.15">
      <c r="A24" s="34" t="s">
        <v>251</v>
      </c>
      <c r="B24" s="53">
        <v>6</v>
      </c>
      <c r="C24" s="53">
        <v>3</v>
      </c>
      <c r="D24" s="53">
        <v>4</v>
      </c>
      <c r="E24" s="53">
        <v>5</v>
      </c>
      <c r="F24" s="53">
        <v>5</v>
      </c>
      <c r="G24" s="53">
        <v>5</v>
      </c>
      <c r="H24" s="53">
        <v>6</v>
      </c>
      <c r="I24" s="53">
        <v>5</v>
      </c>
      <c r="J24" s="53">
        <v>7</v>
      </c>
      <c r="K24" s="53">
        <v>7</v>
      </c>
      <c r="L24" s="53">
        <v>4</v>
      </c>
      <c r="M24" s="53">
        <v>4</v>
      </c>
      <c r="N24" s="53">
        <v>4</v>
      </c>
      <c r="O24" s="53">
        <v>5</v>
      </c>
      <c r="P24" s="62">
        <f t="shared" si="1"/>
        <v>70</v>
      </c>
      <c r="Q24" s="39" t="s">
        <v>223</v>
      </c>
      <c r="R24" s="18"/>
      <c r="S24" s="18"/>
      <c r="T24" s="18"/>
      <c r="U24" s="18"/>
      <c r="V24" s="18"/>
      <c r="W24" s="18"/>
      <c r="X24" s="18"/>
      <c r="Y24" s="18"/>
      <c r="Z24" s="18"/>
      <c r="AA24" s="18"/>
      <c r="AB24" s="18"/>
      <c r="AC24" s="18"/>
      <c r="AD24" s="18"/>
      <c r="AE24" s="18"/>
      <c r="AF24" s="18"/>
    </row>
    <row r="25" spans="1:32" ht="35.25" x14ac:dyDescent="0.15">
      <c r="A25" s="34" t="s">
        <v>252</v>
      </c>
      <c r="B25" s="53">
        <v>3</v>
      </c>
      <c r="C25" s="53">
        <v>5</v>
      </c>
      <c r="D25" s="53">
        <v>3</v>
      </c>
      <c r="E25" s="53">
        <v>6</v>
      </c>
      <c r="F25" s="53">
        <v>2</v>
      </c>
      <c r="G25" s="53">
        <v>5</v>
      </c>
      <c r="H25" s="53">
        <v>5</v>
      </c>
      <c r="I25" s="53">
        <v>6</v>
      </c>
      <c r="J25" s="53">
        <v>7</v>
      </c>
      <c r="K25" s="53">
        <v>7</v>
      </c>
      <c r="L25" s="53">
        <v>5</v>
      </c>
      <c r="M25" s="53">
        <v>3</v>
      </c>
      <c r="N25" s="53">
        <v>6</v>
      </c>
      <c r="O25" s="53">
        <v>5</v>
      </c>
      <c r="P25" s="62">
        <f t="shared" si="1"/>
        <v>68</v>
      </c>
      <c r="Q25" s="39" t="s">
        <v>223</v>
      </c>
      <c r="R25" s="18"/>
      <c r="S25" s="18"/>
      <c r="T25" s="18"/>
      <c r="U25" s="18"/>
      <c r="V25" s="18"/>
      <c r="W25" s="18"/>
      <c r="X25" s="18"/>
      <c r="Y25" s="18"/>
      <c r="Z25" s="18"/>
      <c r="AA25" s="18"/>
      <c r="AB25" s="18"/>
      <c r="AC25" s="18"/>
      <c r="AD25" s="18"/>
      <c r="AE25" s="18"/>
      <c r="AF25" s="18"/>
    </row>
    <row r="26" spans="1:32" ht="24" x14ac:dyDescent="0.15">
      <c r="A26" s="34" t="s">
        <v>253</v>
      </c>
      <c r="B26" s="53">
        <v>7</v>
      </c>
      <c r="C26" s="53">
        <v>4</v>
      </c>
      <c r="D26" s="53">
        <v>1</v>
      </c>
      <c r="E26" s="53">
        <v>1</v>
      </c>
      <c r="F26" s="53">
        <v>5</v>
      </c>
      <c r="G26" s="53">
        <v>7</v>
      </c>
      <c r="H26" s="53">
        <v>6</v>
      </c>
      <c r="I26" s="53">
        <v>4</v>
      </c>
      <c r="J26" s="53">
        <v>7</v>
      </c>
      <c r="K26" s="53">
        <v>6</v>
      </c>
      <c r="L26" s="53">
        <v>5</v>
      </c>
      <c r="M26" s="53">
        <v>5</v>
      </c>
      <c r="N26" s="53">
        <v>2</v>
      </c>
      <c r="O26" s="53">
        <v>5</v>
      </c>
      <c r="P26" s="62">
        <f t="shared" si="1"/>
        <v>65</v>
      </c>
      <c r="Q26" s="39" t="s">
        <v>223</v>
      </c>
      <c r="R26" s="18"/>
      <c r="S26" s="18"/>
      <c r="T26" s="18"/>
      <c r="U26" s="18"/>
      <c r="V26" s="18"/>
      <c r="W26" s="18"/>
      <c r="X26" s="18"/>
      <c r="Y26" s="18"/>
      <c r="Z26" s="18"/>
      <c r="AA26" s="18"/>
      <c r="AB26" s="18"/>
      <c r="AC26" s="18"/>
      <c r="AD26" s="18"/>
      <c r="AE26" s="18"/>
      <c r="AF26" s="18"/>
    </row>
    <row r="27" spans="1:32" ht="24" x14ac:dyDescent="0.15">
      <c r="A27" s="34" t="s">
        <v>255</v>
      </c>
      <c r="B27" s="53">
        <v>2</v>
      </c>
      <c r="C27" s="53">
        <v>5</v>
      </c>
      <c r="D27" s="53">
        <v>1</v>
      </c>
      <c r="E27" s="53">
        <v>5</v>
      </c>
      <c r="F27" s="53">
        <v>3</v>
      </c>
      <c r="G27" s="53">
        <v>5</v>
      </c>
      <c r="H27" s="53">
        <v>6</v>
      </c>
      <c r="I27" s="53">
        <v>6</v>
      </c>
      <c r="J27" s="53">
        <v>7</v>
      </c>
      <c r="K27" s="53">
        <v>7</v>
      </c>
      <c r="L27" s="53">
        <v>1</v>
      </c>
      <c r="M27" s="53">
        <v>5</v>
      </c>
      <c r="N27" s="53">
        <v>4</v>
      </c>
      <c r="O27" s="53">
        <v>6</v>
      </c>
      <c r="P27" s="62">
        <f t="shared" si="1"/>
        <v>63</v>
      </c>
      <c r="Q27" s="39" t="s">
        <v>223</v>
      </c>
      <c r="R27" s="18"/>
      <c r="S27" s="18"/>
      <c r="T27" s="18"/>
      <c r="U27" s="18"/>
      <c r="V27" s="18"/>
      <c r="W27" s="18"/>
      <c r="X27" s="18"/>
      <c r="Y27" s="18"/>
      <c r="Z27" s="18"/>
      <c r="AA27" s="18"/>
      <c r="AB27" s="18"/>
      <c r="AC27" s="18"/>
      <c r="AD27" s="18"/>
      <c r="AE27" s="18"/>
      <c r="AF27" s="18"/>
    </row>
  </sheetData>
  <autoFilter ref="Q1:Q11" xr:uid="{E0EB2662-1475-4A49-BD66-5B8B68CAAB38}"/>
  <sortState xmlns:xlrd2="http://schemas.microsoft.com/office/spreadsheetml/2017/richdata2" ref="A6:R11">
    <sortCondition descending="1" ref="R6:R11"/>
  </sortState>
  <pageMargins left="0.7" right="0.7" top="0.75" bottom="0.75" header="0.3" footer="0.3"/>
  <pageSetup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EE08C-4E72-364A-BAA8-BA875FD5ED19}">
  <dimension ref="A1:AF25"/>
  <sheetViews>
    <sheetView workbookViewId="0">
      <pane xSplit="1" topLeftCell="P1" activePane="topRight" state="frozen"/>
      <selection pane="topRight" activeCell="A4" sqref="A4"/>
    </sheetView>
  </sheetViews>
  <sheetFormatPr defaultColWidth="11.4609375" defaultRowHeight="12.75" x14ac:dyDescent="0.15"/>
  <cols>
    <col min="1" max="1" width="50.83984375" style="32" customWidth="1"/>
    <col min="2" max="15" width="0" hidden="1" customWidth="1"/>
    <col min="16" max="16" width="19.6875" bestFit="1" customWidth="1"/>
    <col min="17" max="17" width="16.71875" bestFit="1" customWidth="1"/>
  </cols>
  <sheetData>
    <row r="1" spans="1:32" ht="13.5" x14ac:dyDescent="0.15">
      <c r="A1" s="31"/>
      <c r="P1" s="50" t="s">
        <v>224</v>
      </c>
      <c r="Q1" s="50" t="s">
        <v>225</v>
      </c>
      <c r="R1" s="13">
        <v>45658</v>
      </c>
      <c r="S1" s="13">
        <v>45689</v>
      </c>
      <c r="T1" s="13">
        <v>45717</v>
      </c>
      <c r="U1" s="13">
        <v>45748</v>
      </c>
      <c r="V1" s="13">
        <v>45778</v>
      </c>
      <c r="W1" s="13">
        <v>45809</v>
      </c>
      <c r="X1" s="13">
        <v>45839</v>
      </c>
      <c r="Y1" s="13">
        <v>45870</v>
      </c>
      <c r="Z1" s="13">
        <v>45901</v>
      </c>
      <c r="AA1" s="13">
        <v>45931</v>
      </c>
      <c r="AB1" s="13">
        <v>45962</v>
      </c>
      <c r="AC1" s="13">
        <v>45992</v>
      </c>
      <c r="AD1" s="13">
        <v>46023</v>
      </c>
      <c r="AE1" s="13">
        <v>46054</v>
      </c>
      <c r="AF1" s="13">
        <v>46082</v>
      </c>
    </row>
    <row r="2" spans="1:32" ht="37.5" x14ac:dyDescent="0.15">
      <c r="A2" s="34" t="s">
        <v>230</v>
      </c>
      <c r="B2" s="53">
        <v>7</v>
      </c>
      <c r="C2" s="53">
        <v>6</v>
      </c>
      <c r="D2" s="53">
        <v>7</v>
      </c>
      <c r="E2" s="53">
        <v>7</v>
      </c>
      <c r="F2" s="53">
        <v>5</v>
      </c>
      <c r="G2" s="53">
        <v>7</v>
      </c>
      <c r="H2" s="53">
        <v>7</v>
      </c>
      <c r="I2" s="53">
        <v>7</v>
      </c>
      <c r="J2" s="53">
        <v>7</v>
      </c>
      <c r="K2" s="53">
        <v>7</v>
      </c>
      <c r="L2" s="53">
        <v>5</v>
      </c>
      <c r="M2" s="53">
        <v>6</v>
      </c>
      <c r="N2" s="53">
        <v>6</v>
      </c>
      <c r="O2" s="53">
        <v>6</v>
      </c>
      <c r="P2" s="62">
        <f t="shared" ref="P2:P10" si="0">SUM(B2:O2)</f>
        <v>90</v>
      </c>
      <c r="Q2" s="39" t="s">
        <v>222</v>
      </c>
      <c r="R2" s="18"/>
      <c r="S2" s="18"/>
      <c r="T2" s="18"/>
      <c r="U2" s="18"/>
      <c r="V2" s="18"/>
      <c r="W2" s="18"/>
      <c r="X2" s="18"/>
      <c r="Y2" s="18"/>
      <c r="Z2" s="18"/>
      <c r="AA2" s="18"/>
      <c r="AB2" s="18"/>
      <c r="AC2" s="18"/>
      <c r="AD2" s="18"/>
      <c r="AE2" s="18"/>
      <c r="AF2" s="18"/>
    </row>
    <row r="3" spans="1:32" ht="48.75" x14ac:dyDescent="0.15">
      <c r="A3" s="34" t="s">
        <v>229</v>
      </c>
      <c r="B3" s="53">
        <v>7</v>
      </c>
      <c r="C3" s="53">
        <v>6</v>
      </c>
      <c r="D3" s="53">
        <v>7</v>
      </c>
      <c r="E3" s="53">
        <v>7</v>
      </c>
      <c r="F3" s="53">
        <v>5</v>
      </c>
      <c r="G3" s="53">
        <v>7</v>
      </c>
      <c r="H3" s="53">
        <v>7</v>
      </c>
      <c r="I3" s="53">
        <v>7</v>
      </c>
      <c r="J3" s="53">
        <v>7</v>
      </c>
      <c r="K3" s="53">
        <v>7</v>
      </c>
      <c r="L3" s="53">
        <v>5</v>
      </c>
      <c r="M3" s="53">
        <v>6</v>
      </c>
      <c r="N3" s="53">
        <v>6</v>
      </c>
      <c r="O3" s="53">
        <v>6</v>
      </c>
      <c r="P3" s="62">
        <f t="shared" si="0"/>
        <v>90</v>
      </c>
      <c r="Q3" s="39" t="s">
        <v>222</v>
      </c>
      <c r="R3" s="18"/>
      <c r="S3" s="18"/>
      <c r="T3" s="18"/>
      <c r="U3" s="18"/>
      <c r="V3" s="18"/>
      <c r="W3" s="18"/>
      <c r="X3" s="18"/>
      <c r="Y3" s="18"/>
      <c r="Z3" s="18"/>
      <c r="AA3" s="18"/>
      <c r="AB3" s="18"/>
      <c r="AC3" s="18"/>
      <c r="AD3" s="18"/>
      <c r="AE3" s="18"/>
      <c r="AF3" s="18"/>
    </row>
    <row r="4" spans="1:32" ht="35.25" x14ac:dyDescent="0.15">
      <c r="A4" s="34" t="s">
        <v>233</v>
      </c>
      <c r="B4" s="53">
        <v>5</v>
      </c>
      <c r="C4" s="53">
        <v>5</v>
      </c>
      <c r="D4" s="53">
        <v>7</v>
      </c>
      <c r="E4" s="53">
        <v>6</v>
      </c>
      <c r="F4" s="53">
        <v>6</v>
      </c>
      <c r="G4" s="53">
        <v>5</v>
      </c>
      <c r="H4" s="53">
        <v>7</v>
      </c>
      <c r="I4" s="53">
        <v>6</v>
      </c>
      <c r="J4" s="53">
        <v>7</v>
      </c>
      <c r="K4" s="53">
        <v>6</v>
      </c>
      <c r="L4" s="53">
        <v>7</v>
      </c>
      <c r="M4" s="53">
        <v>6</v>
      </c>
      <c r="N4" s="53">
        <v>6</v>
      </c>
      <c r="O4" s="53">
        <v>6</v>
      </c>
      <c r="P4" s="62">
        <f t="shared" si="0"/>
        <v>85</v>
      </c>
      <c r="Q4" s="39" t="s">
        <v>222</v>
      </c>
      <c r="R4" s="18"/>
      <c r="S4" s="18"/>
      <c r="T4" s="18"/>
      <c r="U4" s="18"/>
      <c r="V4" s="18"/>
      <c r="W4" s="18"/>
      <c r="X4" s="18"/>
      <c r="Y4" s="18"/>
      <c r="Z4" s="18"/>
      <c r="AA4" s="18"/>
      <c r="AB4" s="18"/>
      <c r="AC4" s="18"/>
      <c r="AD4" s="18"/>
      <c r="AE4" s="18"/>
      <c r="AF4" s="18"/>
    </row>
    <row r="5" spans="1:32" ht="24" x14ac:dyDescent="0.15">
      <c r="A5" s="34" t="s">
        <v>234</v>
      </c>
      <c r="B5" s="53">
        <v>6</v>
      </c>
      <c r="C5" s="53">
        <v>5</v>
      </c>
      <c r="D5" s="53">
        <v>7</v>
      </c>
      <c r="E5" s="53">
        <v>7</v>
      </c>
      <c r="F5" s="53">
        <v>5</v>
      </c>
      <c r="G5" s="53">
        <v>7</v>
      </c>
      <c r="H5" s="53">
        <v>7</v>
      </c>
      <c r="I5" s="53">
        <v>5</v>
      </c>
      <c r="J5" s="53">
        <v>7</v>
      </c>
      <c r="K5" s="53">
        <v>6</v>
      </c>
      <c r="L5" s="53">
        <v>5</v>
      </c>
      <c r="M5" s="53">
        <v>6</v>
      </c>
      <c r="N5" s="53">
        <v>6</v>
      </c>
      <c r="O5" s="53">
        <v>6</v>
      </c>
      <c r="P5" s="62">
        <f t="shared" si="0"/>
        <v>85</v>
      </c>
      <c r="Q5" s="39" t="s">
        <v>222</v>
      </c>
      <c r="R5" s="18"/>
      <c r="S5" s="18"/>
      <c r="T5" s="18"/>
      <c r="U5" s="18"/>
      <c r="V5" s="18"/>
      <c r="W5" s="18"/>
      <c r="X5" s="18"/>
      <c r="Y5" s="18"/>
      <c r="Z5" s="18"/>
      <c r="AA5" s="18"/>
      <c r="AB5" s="18"/>
      <c r="AC5" s="18"/>
      <c r="AD5" s="18"/>
      <c r="AE5" s="18"/>
      <c r="AF5" s="18"/>
    </row>
    <row r="6" spans="1:32" ht="115.5" x14ac:dyDescent="0.15">
      <c r="A6" s="34" t="s">
        <v>256</v>
      </c>
      <c r="B6" s="53">
        <v>7</v>
      </c>
      <c r="C6" s="53">
        <v>6</v>
      </c>
      <c r="D6" s="53">
        <v>7</v>
      </c>
      <c r="E6" s="53">
        <v>7</v>
      </c>
      <c r="F6" s="53">
        <v>2</v>
      </c>
      <c r="G6" s="53">
        <v>5</v>
      </c>
      <c r="H6" s="53">
        <v>7</v>
      </c>
      <c r="I6" s="53">
        <v>5</v>
      </c>
      <c r="J6" s="53">
        <v>7</v>
      </c>
      <c r="K6" s="53">
        <v>7</v>
      </c>
      <c r="L6" s="53">
        <v>6</v>
      </c>
      <c r="M6" s="53">
        <v>5</v>
      </c>
      <c r="N6" s="53">
        <v>7</v>
      </c>
      <c r="O6" s="53">
        <v>5</v>
      </c>
      <c r="P6" s="39">
        <f t="shared" si="0"/>
        <v>83</v>
      </c>
      <c r="Q6" s="39" t="s">
        <v>222</v>
      </c>
      <c r="R6" s="18"/>
      <c r="S6" s="18"/>
      <c r="T6" s="18"/>
      <c r="U6" s="18"/>
      <c r="V6" s="18"/>
      <c r="W6" s="18"/>
      <c r="X6" s="18"/>
      <c r="Y6" s="18"/>
      <c r="Z6" s="18"/>
      <c r="AA6" s="18"/>
      <c r="AB6" s="18"/>
      <c r="AC6" s="18"/>
      <c r="AD6" s="18"/>
      <c r="AE6" s="18"/>
      <c r="AF6" s="18"/>
    </row>
    <row r="7" spans="1:32" ht="24" x14ac:dyDescent="0.15">
      <c r="A7" s="34" t="s">
        <v>201</v>
      </c>
      <c r="B7" s="53">
        <v>6</v>
      </c>
      <c r="C7" s="53">
        <v>3</v>
      </c>
      <c r="D7" s="53">
        <v>5</v>
      </c>
      <c r="E7" s="53">
        <v>7</v>
      </c>
      <c r="F7" s="53">
        <v>5</v>
      </c>
      <c r="G7" s="53">
        <v>4</v>
      </c>
      <c r="H7" s="53">
        <v>7</v>
      </c>
      <c r="I7" s="53">
        <v>7</v>
      </c>
      <c r="J7" s="53">
        <v>7</v>
      </c>
      <c r="K7" s="53">
        <v>6</v>
      </c>
      <c r="L7" s="53">
        <v>7</v>
      </c>
      <c r="M7" s="53">
        <v>5</v>
      </c>
      <c r="N7" s="53">
        <v>6</v>
      </c>
      <c r="O7" s="53">
        <v>4</v>
      </c>
      <c r="P7" s="62">
        <f t="shared" si="0"/>
        <v>79</v>
      </c>
      <c r="Q7" s="39" t="s">
        <v>222</v>
      </c>
      <c r="R7" s="18"/>
      <c r="S7" s="18"/>
      <c r="T7" s="18"/>
      <c r="U7" s="18"/>
      <c r="V7" s="18"/>
      <c r="W7" s="18"/>
      <c r="X7" s="18"/>
      <c r="Y7" s="18"/>
      <c r="Z7" s="18"/>
      <c r="AA7" s="18"/>
      <c r="AB7" s="18"/>
      <c r="AC7" s="18"/>
      <c r="AD7" s="18"/>
      <c r="AE7" s="18"/>
      <c r="AF7" s="18"/>
    </row>
    <row r="8" spans="1:32" ht="35.25" x14ac:dyDescent="0.15">
      <c r="A8" s="34" t="s">
        <v>239</v>
      </c>
      <c r="B8" s="53">
        <v>1</v>
      </c>
      <c r="C8" s="53">
        <v>5</v>
      </c>
      <c r="D8" s="53">
        <v>7</v>
      </c>
      <c r="E8" s="53">
        <v>5</v>
      </c>
      <c r="F8" s="53">
        <v>4</v>
      </c>
      <c r="G8" s="53">
        <v>5</v>
      </c>
      <c r="H8" s="53">
        <v>6</v>
      </c>
      <c r="I8" s="53">
        <v>5</v>
      </c>
      <c r="J8" s="53">
        <v>7</v>
      </c>
      <c r="K8" s="53">
        <v>7</v>
      </c>
      <c r="L8" s="53">
        <v>1</v>
      </c>
      <c r="M8" s="53">
        <v>5</v>
      </c>
      <c r="N8" s="53">
        <v>3</v>
      </c>
      <c r="O8" s="53">
        <v>6</v>
      </c>
      <c r="P8" s="62">
        <f t="shared" si="0"/>
        <v>67</v>
      </c>
      <c r="Q8" s="39" t="s">
        <v>222</v>
      </c>
      <c r="R8" s="18"/>
      <c r="S8" s="18"/>
      <c r="T8" s="18"/>
      <c r="U8" s="18"/>
      <c r="V8" s="18"/>
      <c r="W8" s="18"/>
      <c r="X8" s="18"/>
      <c r="Y8" s="18"/>
      <c r="Z8" s="18"/>
      <c r="AA8" s="18"/>
      <c r="AB8" s="18"/>
      <c r="AC8" s="18"/>
      <c r="AD8" s="18"/>
      <c r="AE8" s="18"/>
      <c r="AF8" s="18"/>
    </row>
    <row r="9" spans="1:32" ht="35.25" x14ac:dyDescent="0.15">
      <c r="A9" s="34" t="s">
        <v>254</v>
      </c>
      <c r="B9" s="53">
        <v>7</v>
      </c>
      <c r="C9" s="53">
        <v>1</v>
      </c>
      <c r="D9" s="53">
        <v>6</v>
      </c>
      <c r="E9" s="53">
        <v>5</v>
      </c>
      <c r="F9" s="53">
        <v>5</v>
      </c>
      <c r="G9" s="53">
        <v>3</v>
      </c>
      <c r="H9" s="53">
        <v>6</v>
      </c>
      <c r="I9" s="53">
        <v>7</v>
      </c>
      <c r="J9" s="53">
        <v>4</v>
      </c>
      <c r="K9" s="53">
        <v>2</v>
      </c>
      <c r="L9" s="53">
        <v>7</v>
      </c>
      <c r="M9" s="53">
        <v>6</v>
      </c>
      <c r="N9" s="53">
        <v>3</v>
      </c>
      <c r="O9" s="53">
        <v>3</v>
      </c>
      <c r="P9" s="62">
        <f t="shared" si="0"/>
        <v>65</v>
      </c>
      <c r="Q9" s="39" t="s">
        <v>222</v>
      </c>
      <c r="R9" s="18"/>
      <c r="S9" s="18"/>
      <c r="T9" s="18"/>
      <c r="U9" s="18"/>
      <c r="V9" s="18"/>
      <c r="W9" s="18"/>
      <c r="X9" s="18"/>
      <c r="Y9" s="18"/>
      <c r="Z9" s="18"/>
      <c r="AA9" s="18"/>
      <c r="AB9" s="18"/>
      <c r="AC9" s="18"/>
      <c r="AD9" s="18"/>
      <c r="AE9" s="18"/>
      <c r="AF9" s="18"/>
    </row>
    <row r="10" spans="1:32" ht="24" x14ac:dyDescent="0.15">
      <c r="A10" s="34" t="s">
        <v>240</v>
      </c>
      <c r="B10" s="53">
        <v>3</v>
      </c>
      <c r="C10" s="53">
        <v>1</v>
      </c>
      <c r="D10" s="53">
        <v>7</v>
      </c>
      <c r="E10" s="53">
        <v>4</v>
      </c>
      <c r="F10" s="53">
        <v>5</v>
      </c>
      <c r="G10" s="53">
        <v>4</v>
      </c>
      <c r="H10" s="53">
        <v>6</v>
      </c>
      <c r="I10" s="53">
        <v>5</v>
      </c>
      <c r="J10" s="53">
        <v>7</v>
      </c>
      <c r="K10" s="53">
        <v>5</v>
      </c>
      <c r="L10" s="53">
        <v>1</v>
      </c>
      <c r="M10" s="53">
        <v>5</v>
      </c>
      <c r="N10" s="53">
        <v>2</v>
      </c>
      <c r="O10" s="53">
        <v>5</v>
      </c>
      <c r="P10" s="62">
        <f t="shared" si="0"/>
        <v>60</v>
      </c>
      <c r="Q10" s="39" t="s">
        <v>222</v>
      </c>
      <c r="R10" s="18"/>
      <c r="S10" s="18"/>
      <c r="T10" s="18"/>
      <c r="U10" s="18"/>
      <c r="V10" s="18"/>
      <c r="W10" s="18"/>
      <c r="X10" s="18"/>
      <c r="Y10" s="18"/>
      <c r="Z10" s="18"/>
      <c r="AA10" s="18"/>
      <c r="AB10" s="18"/>
      <c r="AC10" s="18"/>
      <c r="AD10" s="18"/>
      <c r="AE10" s="18"/>
      <c r="AF10" s="18"/>
    </row>
    <row r="11" spans="1:32" ht="14.25" x14ac:dyDescent="0.15">
      <c r="A11" s="64" t="s">
        <v>228</v>
      </c>
      <c r="B11" s="53"/>
      <c r="C11" s="53"/>
      <c r="D11" s="53"/>
      <c r="E11" s="53"/>
      <c r="F11" s="53"/>
      <c r="G11" s="53"/>
      <c r="H11" s="53"/>
      <c r="I11" s="53"/>
      <c r="J11" s="53"/>
      <c r="K11" s="53"/>
      <c r="L11" s="53"/>
      <c r="M11" s="53"/>
      <c r="N11" s="53"/>
      <c r="O11" s="53"/>
      <c r="P11" s="62"/>
      <c r="Q11" s="39"/>
      <c r="R11" s="18"/>
      <c r="S11" s="18"/>
      <c r="T11" s="18"/>
      <c r="U11" s="18"/>
      <c r="V11" s="18"/>
      <c r="W11" s="18"/>
      <c r="X11" s="18"/>
      <c r="Y11" s="18"/>
      <c r="Z11" s="18"/>
      <c r="AA11" s="18"/>
      <c r="AB11" s="18"/>
      <c r="AC11" s="18"/>
      <c r="AD11" s="18"/>
      <c r="AE11" s="18"/>
      <c r="AF11" s="18"/>
    </row>
    <row r="12" spans="1:32" ht="49.5" customHeight="1" x14ac:dyDescent="0.15">
      <c r="A12" s="34" t="s">
        <v>241</v>
      </c>
      <c r="B12" s="53">
        <v>6</v>
      </c>
      <c r="C12" s="53">
        <v>5</v>
      </c>
      <c r="D12" s="53">
        <v>2</v>
      </c>
      <c r="E12" s="53">
        <v>5</v>
      </c>
      <c r="F12" s="53">
        <v>7</v>
      </c>
      <c r="G12" s="53">
        <v>7</v>
      </c>
      <c r="H12" s="53">
        <v>7</v>
      </c>
      <c r="I12" s="53">
        <v>6</v>
      </c>
      <c r="J12" s="53">
        <v>7</v>
      </c>
      <c r="K12" s="53">
        <v>7</v>
      </c>
      <c r="L12" s="53">
        <v>7</v>
      </c>
      <c r="M12" s="53">
        <v>5</v>
      </c>
      <c r="N12" s="53">
        <v>7</v>
      </c>
      <c r="O12" s="53">
        <v>6</v>
      </c>
      <c r="P12" s="62">
        <f>SUM(B12:O12)</f>
        <v>84</v>
      </c>
      <c r="Q12" s="39" t="s">
        <v>222</v>
      </c>
      <c r="R12" s="18"/>
      <c r="S12" s="18"/>
      <c r="T12" s="18"/>
      <c r="U12" s="18"/>
      <c r="V12" s="18"/>
      <c r="W12" s="18"/>
      <c r="X12" s="18"/>
      <c r="Y12" s="18"/>
      <c r="Z12" s="18"/>
      <c r="AA12" s="18"/>
      <c r="AB12" s="18"/>
      <c r="AC12" s="18"/>
      <c r="AD12" s="18"/>
      <c r="AE12" s="18"/>
      <c r="AF12" s="18"/>
    </row>
    <row r="13" spans="1:32" ht="24" x14ac:dyDescent="0.15">
      <c r="A13" s="34" t="s">
        <v>242</v>
      </c>
      <c r="B13" s="53">
        <v>5</v>
      </c>
      <c r="C13" s="53">
        <v>5</v>
      </c>
      <c r="D13" s="53">
        <v>7</v>
      </c>
      <c r="E13" s="53">
        <v>6</v>
      </c>
      <c r="F13" s="53">
        <v>6</v>
      </c>
      <c r="G13" s="53">
        <v>7</v>
      </c>
      <c r="H13" s="53">
        <v>6</v>
      </c>
      <c r="I13" s="53">
        <v>6</v>
      </c>
      <c r="J13" s="53">
        <v>7</v>
      </c>
      <c r="K13" s="53">
        <v>7</v>
      </c>
      <c r="L13" s="53">
        <v>5</v>
      </c>
      <c r="M13" s="53">
        <v>5</v>
      </c>
      <c r="N13" s="53">
        <v>6</v>
      </c>
      <c r="O13" s="53">
        <v>5</v>
      </c>
      <c r="P13" s="62">
        <f>SUM(B13:O13)</f>
        <v>83</v>
      </c>
      <c r="Q13" s="39" t="s">
        <v>222</v>
      </c>
      <c r="R13" s="18"/>
      <c r="S13" s="18"/>
      <c r="T13" s="18"/>
      <c r="U13" s="18"/>
      <c r="V13" s="18"/>
      <c r="W13" s="18"/>
      <c r="X13" s="18"/>
      <c r="Y13" s="18"/>
      <c r="Z13" s="18"/>
      <c r="AA13" s="18"/>
      <c r="AB13" s="18"/>
      <c r="AC13" s="18"/>
      <c r="AD13" s="18"/>
      <c r="AE13" s="18"/>
      <c r="AF13" s="18"/>
    </row>
    <row r="14" spans="1:32" ht="24" x14ac:dyDescent="0.15">
      <c r="A14" s="34" t="s">
        <v>243</v>
      </c>
      <c r="B14" s="53">
        <v>3</v>
      </c>
      <c r="C14" s="53">
        <v>3</v>
      </c>
      <c r="D14" s="53">
        <v>7</v>
      </c>
      <c r="E14" s="53">
        <v>7</v>
      </c>
      <c r="F14" s="53">
        <v>5</v>
      </c>
      <c r="G14" s="53">
        <v>6</v>
      </c>
      <c r="H14" s="53">
        <v>7</v>
      </c>
      <c r="I14" s="53">
        <v>5</v>
      </c>
      <c r="J14" s="53">
        <v>7</v>
      </c>
      <c r="K14" s="53">
        <v>7</v>
      </c>
      <c r="L14" s="53">
        <v>7</v>
      </c>
      <c r="M14" s="53">
        <v>5</v>
      </c>
      <c r="N14" s="53">
        <v>6</v>
      </c>
      <c r="O14" s="53">
        <v>6</v>
      </c>
      <c r="P14" s="62">
        <f>SUM(B14:O14)</f>
        <v>81</v>
      </c>
      <c r="Q14" s="39" t="s">
        <v>222</v>
      </c>
      <c r="R14" s="18"/>
      <c r="S14" s="18"/>
      <c r="T14" s="18"/>
      <c r="U14" s="18"/>
      <c r="V14" s="18"/>
      <c r="W14" s="18"/>
      <c r="X14" s="18"/>
      <c r="Y14" s="18"/>
      <c r="Z14" s="18"/>
      <c r="AA14" s="18"/>
      <c r="AB14" s="18"/>
      <c r="AC14" s="18"/>
      <c r="AD14" s="18"/>
      <c r="AE14" s="18"/>
      <c r="AF14" s="18"/>
    </row>
    <row r="15" spans="1:32" ht="24" x14ac:dyDescent="0.15">
      <c r="A15" s="34" t="s">
        <v>244</v>
      </c>
      <c r="B15" s="53">
        <v>7</v>
      </c>
      <c r="C15" s="53">
        <v>1</v>
      </c>
      <c r="D15" s="53">
        <v>4</v>
      </c>
      <c r="E15" s="53">
        <v>7</v>
      </c>
      <c r="F15" s="53">
        <v>6</v>
      </c>
      <c r="G15" s="53">
        <v>6</v>
      </c>
      <c r="H15" s="53">
        <v>7</v>
      </c>
      <c r="I15" s="53">
        <v>7</v>
      </c>
      <c r="J15" s="53">
        <v>7</v>
      </c>
      <c r="K15" s="53">
        <v>6</v>
      </c>
      <c r="L15" s="53">
        <v>7</v>
      </c>
      <c r="M15" s="53">
        <v>5</v>
      </c>
      <c r="N15" s="53">
        <v>5</v>
      </c>
      <c r="O15" s="53">
        <v>6</v>
      </c>
      <c r="P15" s="62">
        <f>SUM(B15:O15)</f>
        <v>81</v>
      </c>
      <c r="Q15" s="39" t="s">
        <v>223</v>
      </c>
      <c r="R15" s="18"/>
      <c r="S15" s="18"/>
      <c r="T15" s="18"/>
      <c r="U15" s="18"/>
      <c r="V15" s="18"/>
      <c r="W15" s="18"/>
      <c r="X15" s="18"/>
      <c r="Y15" s="18"/>
      <c r="Z15" s="18"/>
      <c r="AA15" s="18"/>
      <c r="AB15" s="18"/>
      <c r="AC15" s="18"/>
      <c r="AD15" s="18"/>
      <c r="AE15" s="18"/>
      <c r="AF15" s="18"/>
    </row>
    <row r="16" spans="1:32" ht="24" x14ac:dyDescent="0.15">
      <c r="A16" s="34" t="s">
        <v>245</v>
      </c>
      <c r="B16" s="53">
        <v>7</v>
      </c>
      <c r="C16" s="53">
        <v>1</v>
      </c>
      <c r="D16" s="53">
        <v>4</v>
      </c>
      <c r="E16" s="53">
        <v>5</v>
      </c>
      <c r="F16" s="53">
        <v>5</v>
      </c>
      <c r="G16" s="53">
        <v>5</v>
      </c>
      <c r="H16" s="53">
        <v>7</v>
      </c>
      <c r="I16" s="53">
        <v>7</v>
      </c>
      <c r="J16" s="53">
        <v>7</v>
      </c>
      <c r="K16" s="53">
        <v>6</v>
      </c>
      <c r="L16" s="53">
        <v>5</v>
      </c>
      <c r="M16" s="53">
        <v>5</v>
      </c>
      <c r="N16" s="53">
        <v>6</v>
      </c>
      <c r="O16" s="53">
        <v>7</v>
      </c>
      <c r="P16" s="62">
        <f>SUM(B16:O16)</f>
        <v>77</v>
      </c>
      <c r="Q16" s="39" t="s">
        <v>223</v>
      </c>
      <c r="R16" s="18"/>
      <c r="S16" s="18"/>
      <c r="T16" s="18"/>
      <c r="U16" s="18"/>
      <c r="V16" s="18"/>
      <c r="W16" s="18"/>
      <c r="X16" s="18"/>
      <c r="Y16" s="18"/>
      <c r="Z16" s="18"/>
      <c r="AA16" s="18"/>
      <c r="AB16" s="18"/>
      <c r="AC16" s="18"/>
      <c r="AD16" s="18"/>
      <c r="AE16" s="18"/>
      <c r="AF16" s="18"/>
    </row>
    <row r="17" spans="1:32" x14ac:dyDescent="0.15">
      <c r="A17" s="34" t="s">
        <v>246</v>
      </c>
      <c r="B17" s="53"/>
      <c r="C17" s="53"/>
      <c r="D17" s="53"/>
      <c r="E17" s="53"/>
      <c r="F17" s="53"/>
      <c r="G17" s="53"/>
      <c r="H17" s="53"/>
      <c r="I17" s="53"/>
      <c r="J17" s="53"/>
      <c r="K17" s="53"/>
      <c r="L17" s="53"/>
      <c r="M17" s="53"/>
      <c r="N17" s="53"/>
      <c r="O17" s="53"/>
      <c r="P17" s="62"/>
      <c r="Q17" s="39" t="s">
        <v>223</v>
      </c>
      <c r="R17" s="18"/>
      <c r="S17" s="18"/>
      <c r="T17" s="18"/>
      <c r="U17" s="18"/>
      <c r="V17" s="18"/>
      <c r="W17" s="18"/>
      <c r="X17" s="18"/>
      <c r="Y17" s="18"/>
      <c r="Z17" s="18"/>
      <c r="AA17" s="18"/>
      <c r="AB17" s="18"/>
      <c r="AC17" s="18"/>
      <c r="AD17" s="18"/>
      <c r="AE17" s="18"/>
      <c r="AF17" s="18"/>
    </row>
    <row r="18" spans="1:32" x14ac:dyDescent="0.15">
      <c r="A18" s="34" t="s">
        <v>247</v>
      </c>
      <c r="B18" s="53"/>
      <c r="C18" s="53"/>
      <c r="D18" s="53"/>
      <c r="E18" s="53"/>
      <c r="F18" s="53"/>
      <c r="G18" s="53"/>
      <c r="H18" s="53"/>
      <c r="I18" s="53"/>
      <c r="J18" s="53"/>
      <c r="K18" s="53"/>
      <c r="L18" s="53"/>
      <c r="M18" s="53"/>
      <c r="N18" s="53"/>
      <c r="O18" s="53"/>
      <c r="P18" s="62"/>
      <c r="Q18" s="39" t="s">
        <v>223</v>
      </c>
      <c r="R18" s="18"/>
      <c r="S18" s="18"/>
      <c r="T18" s="18"/>
      <c r="U18" s="18"/>
      <c r="V18" s="18"/>
      <c r="W18" s="18"/>
      <c r="X18" s="18"/>
      <c r="Y18" s="18"/>
      <c r="Z18" s="18"/>
      <c r="AA18" s="18"/>
      <c r="AB18" s="18"/>
      <c r="AC18" s="18"/>
      <c r="AD18" s="18"/>
      <c r="AE18" s="18"/>
      <c r="AF18" s="18"/>
    </row>
    <row r="19" spans="1:32" ht="24" x14ac:dyDescent="0.15">
      <c r="A19" s="26" t="s">
        <v>248</v>
      </c>
      <c r="B19" s="53"/>
      <c r="C19" s="53"/>
      <c r="D19" s="53"/>
      <c r="E19" s="53"/>
      <c r="F19" s="53"/>
      <c r="G19" s="53"/>
      <c r="H19" s="53"/>
      <c r="I19" s="53"/>
      <c r="J19" s="53"/>
      <c r="K19" s="53"/>
      <c r="L19" s="53"/>
      <c r="M19" s="53"/>
      <c r="N19" s="53"/>
      <c r="O19" s="53"/>
      <c r="P19" s="62"/>
      <c r="Q19" s="39" t="s">
        <v>223</v>
      </c>
      <c r="R19" s="18"/>
      <c r="S19" s="18"/>
      <c r="T19" s="18"/>
      <c r="U19" s="18"/>
      <c r="V19" s="18"/>
      <c r="W19" s="18"/>
      <c r="X19" s="18"/>
      <c r="Y19" s="18"/>
      <c r="Z19" s="18"/>
      <c r="AA19" s="18"/>
      <c r="AB19" s="18"/>
      <c r="AC19" s="18"/>
      <c r="AD19" s="18"/>
      <c r="AE19" s="18"/>
      <c r="AF19" s="18"/>
    </row>
    <row r="20" spans="1:32" ht="46.5" x14ac:dyDescent="0.15">
      <c r="A20" s="34" t="s">
        <v>249</v>
      </c>
      <c r="B20" s="53">
        <v>6</v>
      </c>
      <c r="C20" s="53">
        <v>6</v>
      </c>
      <c r="D20" s="53">
        <v>6</v>
      </c>
      <c r="E20" s="53">
        <v>7</v>
      </c>
      <c r="F20" s="53">
        <v>5</v>
      </c>
      <c r="G20" s="53">
        <v>4</v>
      </c>
      <c r="H20" s="53">
        <v>7</v>
      </c>
      <c r="I20" s="53">
        <v>7</v>
      </c>
      <c r="J20" s="53">
        <v>7</v>
      </c>
      <c r="K20" s="53">
        <v>6</v>
      </c>
      <c r="L20" s="53">
        <v>1</v>
      </c>
      <c r="M20" s="53">
        <v>3</v>
      </c>
      <c r="N20" s="53">
        <v>7</v>
      </c>
      <c r="O20" s="53">
        <v>5</v>
      </c>
      <c r="P20" s="62">
        <f t="shared" ref="P20:P25" si="1">SUM(B20:O20)</f>
        <v>77</v>
      </c>
      <c r="Q20" s="39" t="s">
        <v>223</v>
      </c>
      <c r="R20" s="18"/>
      <c r="S20" s="18"/>
      <c r="T20" s="18"/>
      <c r="U20" s="18"/>
      <c r="V20" s="18"/>
      <c r="W20" s="18"/>
      <c r="X20" s="18"/>
      <c r="Y20" s="18"/>
      <c r="Z20" s="18"/>
      <c r="AA20" s="18"/>
      <c r="AB20" s="18"/>
      <c r="AC20" s="18"/>
      <c r="AD20" s="18"/>
      <c r="AE20" s="18"/>
      <c r="AF20" s="18"/>
    </row>
    <row r="21" spans="1:32" ht="61.5" customHeight="1" x14ac:dyDescent="0.15">
      <c r="A21" s="34" t="s">
        <v>250</v>
      </c>
      <c r="B21" s="53">
        <v>2</v>
      </c>
      <c r="C21" s="53">
        <v>5</v>
      </c>
      <c r="D21" s="53">
        <v>7</v>
      </c>
      <c r="E21" s="53">
        <v>7</v>
      </c>
      <c r="F21" s="53">
        <v>3</v>
      </c>
      <c r="G21" s="53">
        <v>5</v>
      </c>
      <c r="H21" s="53">
        <v>6</v>
      </c>
      <c r="I21" s="53">
        <v>6</v>
      </c>
      <c r="J21" s="53">
        <v>7</v>
      </c>
      <c r="K21" s="53">
        <v>7</v>
      </c>
      <c r="L21" s="53">
        <v>2</v>
      </c>
      <c r="M21" s="53">
        <v>5</v>
      </c>
      <c r="N21" s="53">
        <v>6</v>
      </c>
      <c r="O21" s="53">
        <v>6</v>
      </c>
      <c r="P21" s="62">
        <f t="shared" si="1"/>
        <v>74</v>
      </c>
      <c r="Q21" s="39" t="s">
        <v>223</v>
      </c>
      <c r="R21" s="18"/>
      <c r="S21" s="18"/>
      <c r="T21" s="18"/>
      <c r="U21" s="18"/>
      <c r="V21" s="18"/>
      <c r="W21" s="18"/>
      <c r="X21" s="18"/>
      <c r="Y21" s="18"/>
      <c r="Z21" s="18"/>
      <c r="AA21" s="18"/>
      <c r="AB21" s="18"/>
      <c r="AC21" s="18"/>
      <c r="AD21" s="18"/>
      <c r="AE21" s="18"/>
      <c r="AF21" s="18"/>
    </row>
    <row r="22" spans="1:32" ht="43.5" customHeight="1" x14ac:dyDescent="0.15">
      <c r="A22" s="34" t="s">
        <v>251</v>
      </c>
      <c r="B22" s="53">
        <v>6</v>
      </c>
      <c r="C22" s="53">
        <v>3</v>
      </c>
      <c r="D22" s="53">
        <v>4</v>
      </c>
      <c r="E22" s="53">
        <v>5</v>
      </c>
      <c r="F22" s="53">
        <v>5</v>
      </c>
      <c r="G22" s="53">
        <v>5</v>
      </c>
      <c r="H22" s="53">
        <v>6</v>
      </c>
      <c r="I22" s="53">
        <v>5</v>
      </c>
      <c r="J22" s="53">
        <v>7</v>
      </c>
      <c r="K22" s="53">
        <v>7</v>
      </c>
      <c r="L22" s="53">
        <v>4</v>
      </c>
      <c r="M22" s="53">
        <v>4</v>
      </c>
      <c r="N22" s="53">
        <v>4</v>
      </c>
      <c r="O22" s="53">
        <v>5</v>
      </c>
      <c r="P22" s="62">
        <f t="shared" si="1"/>
        <v>70</v>
      </c>
      <c r="Q22" s="39" t="s">
        <v>223</v>
      </c>
      <c r="R22" s="18"/>
      <c r="S22" s="18"/>
      <c r="T22" s="18"/>
      <c r="U22" s="18"/>
      <c r="V22" s="18"/>
      <c r="W22" s="18"/>
      <c r="X22" s="18"/>
      <c r="Y22" s="18"/>
      <c r="Z22" s="18"/>
      <c r="AA22" s="18"/>
      <c r="AB22" s="18"/>
      <c r="AC22" s="18"/>
      <c r="AD22" s="18"/>
      <c r="AE22" s="18"/>
      <c r="AF22" s="18"/>
    </row>
    <row r="23" spans="1:32" ht="35.25" x14ac:dyDescent="0.15">
      <c r="A23" s="34" t="s">
        <v>252</v>
      </c>
      <c r="B23" s="53">
        <v>3</v>
      </c>
      <c r="C23" s="53">
        <v>5</v>
      </c>
      <c r="D23" s="53">
        <v>3</v>
      </c>
      <c r="E23" s="53">
        <v>6</v>
      </c>
      <c r="F23" s="53">
        <v>2</v>
      </c>
      <c r="G23" s="53">
        <v>5</v>
      </c>
      <c r="H23" s="53">
        <v>5</v>
      </c>
      <c r="I23" s="53">
        <v>6</v>
      </c>
      <c r="J23" s="53">
        <v>7</v>
      </c>
      <c r="K23" s="53">
        <v>7</v>
      </c>
      <c r="L23" s="53">
        <v>5</v>
      </c>
      <c r="M23" s="53">
        <v>3</v>
      </c>
      <c r="N23" s="53">
        <v>6</v>
      </c>
      <c r="O23" s="53">
        <v>5</v>
      </c>
      <c r="P23" s="62">
        <f t="shared" si="1"/>
        <v>68</v>
      </c>
      <c r="Q23" s="39" t="s">
        <v>223</v>
      </c>
      <c r="R23" s="18"/>
      <c r="S23" s="18"/>
      <c r="T23" s="18"/>
      <c r="U23" s="18"/>
      <c r="V23" s="18"/>
      <c r="W23" s="18"/>
      <c r="X23" s="18"/>
      <c r="Y23" s="18"/>
      <c r="Z23" s="18"/>
      <c r="AA23" s="18"/>
      <c r="AB23" s="18"/>
      <c r="AC23" s="18"/>
      <c r="AD23" s="18"/>
      <c r="AE23" s="18"/>
      <c r="AF23" s="18"/>
    </row>
    <row r="24" spans="1:32" ht="24" x14ac:dyDescent="0.15">
      <c r="A24" s="34" t="s">
        <v>253</v>
      </c>
      <c r="B24" s="53">
        <v>7</v>
      </c>
      <c r="C24" s="53">
        <v>4</v>
      </c>
      <c r="D24" s="53">
        <v>1</v>
      </c>
      <c r="E24" s="53">
        <v>1</v>
      </c>
      <c r="F24" s="53">
        <v>5</v>
      </c>
      <c r="G24" s="53">
        <v>7</v>
      </c>
      <c r="H24" s="53">
        <v>6</v>
      </c>
      <c r="I24" s="53">
        <v>4</v>
      </c>
      <c r="J24" s="53">
        <v>7</v>
      </c>
      <c r="K24" s="53">
        <v>6</v>
      </c>
      <c r="L24" s="53">
        <v>5</v>
      </c>
      <c r="M24" s="53">
        <v>5</v>
      </c>
      <c r="N24" s="53">
        <v>2</v>
      </c>
      <c r="O24" s="53">
        <v>5</v>
      </c>
      <c r="P24" s="62">
        <f t="shared" si="1"/>
        <v>65</v>
      </c>
      <c r="Q24" s="39" t="s">
        <v>223</v>
      </c>
      <c r="R24" s="18"/>
      <c r="S24" s="18"/>
      <c r="T24" s="18"/>
      <c r="U24" s="18"/>
      <c r="V24" s="18"/>
      <c r="W24" s="18"/>
      <c r="X24" s="18"/>
      <c r="Y24" s="18"/>
      <c r="Z24" s="18"/>
      <c r="AA24" s="18"/>
      <c r="AB24" s="18"/>
      <c r="AC24" s="18"/>
      <c r="AD24" s="18"/>
      <c r="AE24" s="18"/>
      <c r="AF24" s="18"/>
    </row>
    <row r="25" spans="1:32" ht="24" x14ac:dyDescent="0.15">
      <c r="A25" s="34" t="s">
        <v>255</v>
      </c>
      <c r="B25" s="53">
        <v>2</v>
      </c>
      <c r="C25" s="53">
        <v>5</v>
      </c>
      <c r="D25" s="53">
        <v>1</v>
      </c>
      <c r="E25" s="53">
        <v>5</v>
      </c>
      <c r="F25" s="53">
        <v>3</v>
      </c>
      <c r="G25" s="53">
        <v>5</v>
      </c>
      <c r="H25" s="53">
        <v>6</v>
      </c>
      <c r="I25" s="53">
        <v>6</v>
      </c>
      <c r="J25" s="53">
        <v>7</v>
      </c>
      <c r="K25" s="53">
        <v>7</v>
      </c>
      <c r="L25" s="53">
        <v>1</v>
      </c>
      <c r="M25" s="53">
        <v>5</v>
      </c>
      <c r="N25" s="53">
        <v>4</v>
      </c>
      <c r="O25" s="53">
        <v>6</v>
      </c>
      <c r="P25" s="62">
        <f t="shared" si="1"/>
        <v>63</v>
      </c>
      <c r="Q25" s="39" t="s">
        <v>223</v>
      </c>
      <c r="R25" s="18"/>
      <c r="S25" s="18"/>
      <c r="T25" s="18"/>
      <c r="U25" s="18"/>
      <c r="V25" s="18"/>
      <c r="W25" s="18"/>
      <c r="X25" s="18"/>
      <c r="Y25" s="18"/>
      <c r="Z25" s="18"/>
      <c r="AA25" s="18"/>
      <c r="AB25" s="18"/>
      <c r="AC25" s="18"/>
      <c r="AD25" s="18"/>
      <c r="AE25" s="18"/>
      <c r="AF25" s="18"/>
    </row>
  </sheetData>
  <autoFilter ref="Q1:Q25" xr:uid="{650EE08C-4E72-364A-BAA8-BA875FD5ED19}"/>
  <sortState xmlns:xlrd2="http://schemas.microsoft.com/office/spreadsheetml/2017/richdata2" ref="A3:O16">
    <sortCondition descending="1" ref="O3:O16"/>
  </sortState>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47959-5C8B-C745-AE48-2C7D29F82DDE}">
  <dimension ref="A1:AF28"/>
  <sheetViews>
    <sheetView workbookViewId="0">
      <pane xSplit="1" topLeftCell="P1" activePane="topRight" state="frozen"/>
      <selection pane="topRight" activeCell="S5" sqref="S5"/>
    </sheetView>
  </sheetViews>
  <sheetFormatPr defaultColWidth="11.4609375" defaultRowHeight="12.75" x14ac:dyDescent="0.15"/>
  <cols>
    <col min="1" max="1" width="50.83984375" style="32" customWidth="1"/>
    <col min="2" max="15" width="0" hidden="1" customWidth="1"/>
    <col min="16" max="16" width="19.6875" bestFit="1" customWidth="1"/>
    <col min="17" max="17" width="16.71875" bestFit="1" customWidth="1"/>
  </cols>
  <sheetData>
    <row r="1" spans="1:32" ht="13.5" x14ac:dyDescent="0.15">
      <c r="A1" s="31"/>
      <c r="B1" s="13">
        <v>45658</v>
      </c>
      <c r="C1" s="13">
        <v>45748</v>
      </c>
      <c r="D1" s="13">
        <v>45839</v>
      </c>
      <c r="E1" s="13">
        <v>45931</v>
      </c>
      <c r="F1" s="13">
        <v>46023</v>
      </c>
      <c r="G1" s="13">
        <v>46113</v>
      </c>
      <c r="H1" s="13">
        <v>46204</v>
      </c>
      <c r="I1" s="13">
        <v>46296</v>
      </c>
      <c r="J1" s="13">
        <v>46388</v>
      </c>
      <c r="K1" s="13">
        <v>46478</v>
      </c>
      <c r="L1" s="13">
        <v>46569</v>
      </c>
      <c r="M1" s="13">
        <v>46661</v>
      </c>
      <c r="N1" s="13">
        <v>46753</v>
      </c>
      <c r="O1" s="13">
        <v>46844</v>
      </c>
      <c r="P1" s="50" t="s">
        <v>224</v>
      </c>
      <c r="Q1" s="50" t="s">
        <v>225</v>
      </c>
      <c r="R1" s="13">
        <v>45658</v>
      </c>
      <c r="S1" s="13">
        <v>45748</v>
      </c>
      <c r="T1" s="13">
        <v>45839</v>
      </c>
      <c r="U1" s="13">
        <v>45931</v>
      </c>
      <c r="V1" s="13">
        <v>46023</v>
      </c>
      <c r="W1" s="13">
        <v>46113</v>
      </c>
      <c r="X1" s="13">
        <v>46204</v>
      </c>
      <c r="Y1" s="13">
        <v>46296</v>
      </c>
      <c r="Z1" s="13">
        <v>46388</v>
      </c>
      <c r="AA1" s="13">
        <v>46478</v>
      </c>
      <c r="AB1" s="13">
        <v>46569</v>
      </c>
      <c r="AC1" s="13">
        <v>46661</v>
      </c>
      <c r="AD1" s="13">
        <v>46753</v>
      </c>
      <c r="AE1" s="13">
        <v>46844</v>
      </c>
      <c r="AF1" s="13">
        <v>46935</v>
      </c>
    </row>
    <row r="2" spans="1:32" ht="37.5" x14ac:dyDescent="0.15">
      <c r="A2" s="34" t="s">
        <v>230</v>
      </c>
      <c r="B2" s="53">
        <v>7</v>
      </c>
      <c r="C2" s="53">
        <v>6</v>
      </c>
      <c r="D2" s="53">
        <v>7</v>
      </c>
      <c r="E2" s="53">
        <v>7</v>
      </c>
      <c r="F2" s="53">
        <v>5</v>
      </c>
      <c r="G2" s="53">
        <v>7</v>
      </c>
      <c r="H2" s="53">
        <v>7</v>
      </c>
      <c r="I2" s="53">
        <v>7</v>
      </c>
      <c r="J2" s="53">
        <v>7</v>
      </c>
      <c r="K2" s="53">
        <v>7</v>
      </c>
      <c r="L2" s="53">
        <v>5</v>
      </c>
      <c r="M2" s="53">
        <v>6</v>
      </c>
      <c r="N2" s="53">
        <v>6</v>
      </c>
      <c r="O2" s="53">
        <v>6</v>
      </c>
      <c r="P2" s="62">
        <f t="shared" ref="P2:P12" si="0">SUM(B2:O2)</f>
        <v>90</v>
      </c>
      <c r="Q2" s="39" t="s">
        <v>222</v>
      </c>
      <c r="R2" s="18"/>
      <c r="S2" s="18"/>
      <c r="T2" s="18"/>
      <c r="U2" s="18"/>
      <c r="V2" s="18"/>
      <c r="W2" s="18"/>
      <c r="X2" s="18"/>
      <c r="Y2" s="18"/>
      <c r="Z2" s="18"/>
      <c r="AA2" s="18"/>
      <c r="AB2" s="18"/>
      <c r="AC2" s="18"/>
      <c r="AD2" s="18"/>
      <c r="AE2" s="18"/>
      <c r="AF2" s="18"/>
    </row>
    <row r="3" spans="1:32" ht="48.75" x14ac:dyDescent="0.15">
      <c r="A3" s="34" t="s">
        <v>229</v>
      </c>
      <c r="B3" s="53">
        <v>7</v>
      </c>
      <c r="C3" s="53">
        <v>6</v>
      </c>
      <c r="D3" s="53">
        <v>7</v>
      </c>
      <c r="E3" s="53">
        <v>7</v>
      </c>
      <c r="F3" s="53">
        <v>5</v>
      </c>
      <c r="G3" s="53">
        <v>7</v>
      </c>
      <c r="H3" s="53">
        <v>7</v>
      </c>
      <c r="I3" s="53">
        <v>7</v>
      </c>
      <c r="J3" s="53">
        <v>7</v>
      </c>
      <c r="K3" s="53">
        <v>7</v>
      </c>
      <c r="L3" s="53">
        <v>5</v>
      </c>
      <c r="M3" s="53">
        <v>6</v>
      </c>
      <c r="N3" s="53">
        <v>6</v>
      </c>
      <c r="O3" s="53">
        <v>6</v>
      </c>
      <c r="P3" s="62">
        <f t="shared" si="0"/>
        <v>90</v>
      </c>
      <c r="Q3" s="39" t="s">
        <v>222</v>
      </c>
      <c r="R3" s="18"/>
      <c r="S3" s="18"/>
      <c r="T3" s="18"/>
      <c r="U3" s="18"/>
      <c r="V3" s="18"/>
      <c r="W3" s="18"/>
      <c r="X3" s="18"/>
      <c r="Y3" s="18"/>
      <c r="Z3" s="18"/>
      <c r="AA3" s="18"/>
      <c r="AB3" s="18"/>
      <c r="AC3" s="18"/>
      <c r="AD3" s="18"/>
      <c r="AE3" s="18"/>
      <c r="AF3" s="18"/>
    </row>
    <row r="4" spans="1:32" ht="35.25" x14ac:dyDescent="0.15">
      <c r="A4" s="34" t="s">
        <v>233</v>
      </c>
      <c r="B4" s="53">
        <v>5</v>
      </c>
      <c r="C4" s="53">
        <v>5</v>
      </c>
      <c r="D4" s="53">
        <v>7</v>
      </c>
      <c r="E4" s="53">
        <v>6</v>
      </c>
      <c r="F4" s="53">
        <v>6</v>
      </c>
      <c r="G4" s="53">
        <v>5</v>
      </c>
      <c r="H4" s="53">
        <v>7</v>
      </c>
      <c r="I4" s="53">
        <v>6</v>
      </c>
      <c r="J4" s="53">
        <v>7</v>
      </c>
      <c r="K4" s="53">
        <v>6</v>
      </c>
      <c r="L4" s="53">
        <v>7</v>
      </c>
      <c r="M4" s="53">
        <v>6</v>
      </c>
      <c r="N4" s="53">
        <v>6</v>
      </c>
      <c r="O4" s="53">
        <v>6</v>
      </c>
      <c r="P4" s="62">
        <f t="shared" si="0"/>
        <v>85</v>
      </c>
      <c r="Q4" s="39" t="s">
        <v>222</v>
      </c>
      <c r="R4" s="18"/>
      <c r="S4" s="18"/>
      <c r="T4" s="18"/>
      <c r="U4" s="18"/>
      <c r="V4" s="18"/>
      <c r="W4" s="18"/>
      <c r="X4" s="18"/>
      <c r="Y4" s="18"/>
      <c r="Z4" s="18"/>
      <c r="AA4" s="18"/>
      <c r="AB4" s="18"/>
      <c r="AC4" s="18"/>
      <c r="AD4" s="18"/>
      <c r="AE4" s="18"/>
      <c r="AF4" s="18"/>
    </row>
    <row r="5" spans="1:32" ht="24" x14ac:dyDescent="0.15">
      <c r="A5" s="34" t="s">
        <v>234</v>
      </c>
      <c r="B5" s="53">
        <v>6</v>
      </c>
      <c r="C5" s="53">
        <v>5</v>
      </c>
      <c r="D5" s="53">
        <v>7</v>
      </c>
      <c r="E5" s="53">
        <v>7</v>
      </c>
      <c r="F5" s="53">
        <v>5</v>
      </c>
      <c r="G5" s="53">
        <v>7</v>
      </c>
      <c r="H5" s="53">
        <v>7</v>
      </c>
      <c r="I5" s="53">
        <v>5</v>
      </c>
      <c r="J5" s="53">
        <v>7</v>
      </c>
      <c r="K5" s="53">
        <v>6</v>
      </c>
      <c r="L5" s="53">
        <v>5</v>
      </c>
      <c r="M5" s="53">
        <v>6</v>
      </c>
      <c r="N5" s="53">
        <v>6</v>
      </c>
      <c r="O5" s="53">
        <v>6</v>
      </c>
      <c r="P5" s="62">
        <f t="shared" si="0"/>
        <v>85</v>
      </c>
      <c r="Q5" s="39" t="s">
        <v>222</v>
      </c>
      <c r="R5" s="18"/>
      <c r="S5" s="18"/>
      <c r="T5" s="18"/>
      <c r="U5" s="18"/>
      <c r="V5" s="18"/>
      <c r="W5" s="18"/>
      <c r="X5" s="18"/>
      <c r="Y5" s="18"/>
      <c r="Z5" s="18"/>
      <c r="AA5" s="18"/>
      <c r="AB5" s="18"/>
      <c r="AC5" s="18"/>
      <c r="AD5" s="18"/>
      <c r="AE5" s="18"/>
      <c r="AF5" s="18"/>
    </row>
    <row r="6" spans="1:32" ht="115.5" x14ac:dyDescent="0.15">
      <c r="A6" s="34" t="s">
        <v>256</v>
      </c>
      <c r="B6" s="53">
        <v>7</v>
      </c>
      <c r="C6" s="53">
        <v>6</v>
      </c>
      <c r="D6" s="53">
        <v>7</v>
      </c>
      <c r="E6" s="53">
        <v>7</v>
      </c>
      <c r="F6" s="53">
        <v>2</v>
      </c>
      <c r="G6" s="53">
        <v>5</v>
      </c>
      <c r="H6" s="53">
        <v>7</v>
      </c>
      <c r="I6" s="53">
        <v>5</v>
      </c>
      <c r="J6" s="53">
        <v>7</v>
      </c>
      <c r="K6" s="53">
        <v>7</v>
      </c>
      <c r="L6" s="53">
        <v>6</v>
      </c>
      <c r="M6" s="53">
        <v>5</v>
      </c>
      <c r="N6" s="53">
        <v>7</v>
      </c>
      <c r="O6" s="53">
        <v>5</v>
      </c>
      <c r="P6" s="39">
        <f t="shared" si="0"/>
        <v>83</v>
      </c>
      <c r="Q6" s="39" t="s">
        <v>222</v>
      </c>
      <c r="R6" s="18"/>
      <c r="S6" s="18"/>
      <c r="T6" s="18"/>
      <c r="U6" s="18"/>
      <c r="V6" s="18"/>
      <c r="W6" s="18"/>
      <c r="X6" s="18"/>
      <c r="Y6" s="18"/>
      <c r="Z6" s="18"/>
      <c r="AA6" s="18"/>
      <c r="AB6" s="18"/>
      <c r="AC6" s="18"/>
      <c r="AD6" s="18"/>
      <c r="AE6" s="18"/>
      <c r="AF6" s="18"/>
    </row>
    <row r="7" spans="1:32" ht="24" x14ac:dyDescent="0.15">
      <c r="A7" s="34" t="s">
        <v>236</v>
      </c>
      <c r="B7" s="53">
        <v>3</v>
      </c>
      <c r="C7" s="53">
        <v>5</v>
      </c>
      <c r="D7" s="53">
        <v>7</v>
      </c>
      <c r="E7" s="53">
        <v>7</v>
      </c>
      <c r="F7" s="53">
        <v>5</v>
      </c>
      <c r="G7" s="53">
        <v>5</v>
      </c>
      <c r="H7" s="53">
        <v>7</v>
      </c>
      <c r="I7" s="53">
        <v>6</v>
      </c>
      <c r="J7" s="53">
        <v>7</v>
      </c>
      <c r="K7" s="53">
        <v>6</v>
      </c>
      <c r="L7" s="53">
        <v>5</v>
      </c>
      <c r="M7" s="53">
        <v>6</v>
      </c>
      <c r="N7" s="53">
        <v>6</v>
      </c>
      <c r="O7" s="53">
        <v>6</v>
      </c>
      <c r="P7" s="62">
        <f t="shared" si="0"/>
        <v>81</v>
      </c>
      <c r="Q7" s="39" t="s">
        <v>222</v>
      </c>
      <c r="R7" s="18"/>
      <c r="S7" s="18"/>
      <c r="T7" s="18"/>
      <c r="U7" s="18"/>
      <c r="V7" s="18"/>
      <c r="W7" s="18"/>
      <c r="X7" s="18"/>
      <c r="Y7" s="18"/>
      <c r="Z7" s="18"/>
      <c r="AA7" s="18"/>
      <c r="AB7" s="18"/>
      <c r="AC7" s="18"/>
      <c r="AD7" s="18"/>
      <c r="AE7" s="18"/>
      <c r="AF7" s="18"/>
    </row>
    <row r="8" spans="1:32" x14ac:dyDescent="0.15">
      <c r="A8" s="34" t="s">
        <v>237</v>
      </c>
      <c r="B8" s="53">
        <v>5</v>
      </c>
      <c r="C8" s="53">
        <v>7</v>
      </c>
      <c r="D8" s="53">
        <v>7</v>
      </c>
      <c r="E8" s="53">
        <v>5</v>
      </c>
      <c r="F8" s="53">
        <v>6</v>
      </c>
      <c r="G8" s="53">
        <v>4</v>
      </c>
      <c r="H8" s="53">
        <v>7</v>
      </c>
      <c r="I8" s="53">
        <v>6</v>
      </c>
      <c r="J8" s="53">
        <v>7</v>
      </c>
      <c r="K8" s="53">
        <v>7</v>
      </c>
      <c r="L8" s="53">
        <v>1</v>
      </c>
      <c r="M8" s="53">
        <v>6</v>
      </c>
      <c r="N8" s="53">
        <v>6</v>
      </c>
      <c r="O8" s="53">
        <v>6</v>
      </c>
      <c r="P8" s="62">
        <f t="shared" si="0"/>
        <v>80</v>
      </c>
      <c r="Q8" s="39" t="s">
        <v>222</v>
      </c>
      <c r="R8" s="18"/>
      <c r="S8" s="18"/>
      <c r="T8" s="18"/>
      <c r="U8" s="18"/>
      <c r="V8" s="18"/>
      <c r="W8" s="18"/>
      <c r="X8" s="18"/>
      <c r="Y8" s="18"/>
      <c r="Z8" s="18"/>
      <c r="AA8" s="18"/>
      <c r="AB8" s="18"/>
      <c r="AC8" s="18"/>
      <c r="AD8" s="18"/>
      <c r="AE8" s="18"/>
      <c r="AF8" s="18"/>
    </row>
    <row r="9" spans="1:32" ht="24" x14ac:dyDescent="0.15">
      <c r="A9" s="34" t="s">
        <v>201</v>
      </c>
      <c r="B9" s="53">
        <v>6</v>
      </c>
      <c r="C9" s="53">
        <v>3</v>
      </c>
      <c r="D9" s="53">
        <v>5</v>
      </c>
      <c r="E9" s="53">
        <v>7</v>
      </c>
      <c r="F9" s="53">
        <v>5</v>
      </c>
      <c r="G9" s="53">
        <v>4</v>
      </c>
      <c r="H9" s="53">
        <v>7</v>
      </c>
      <c r="I9" s="53">
        <v>7</v>
      </c>
      <c r="J9" s="53">
        <v>7</v>
      </c>
      <c r="K9" s="53">
        <v>6</v>
      </c>
      <c r="L9" s="53">
        <v>7</v>
      </c>
      <c r="M9" s="53">
        <v>5</v>
      </c>
      <c r="N9" s="53">
        <v>6</v>
      </c>
      <c r="O9" s="53">
        <v>4</v>
      </c>
      <c r="P9" s="62">
        <f t="shared" si="0"/>
        <v>79</v>
      </c>
      <c r="Q9" s="39" t="s">
        <v>222</v>
      </c>
      <c r="R9" s="18"/>
      <c r="S9" s="18"/>
      <c r="T9" s="18"/>
      <c r="U9" s="18"/>
      <c r="V9" s="18"/>
      <c r="W9" s="18"/>
      <c r="X9" s="18"/>
      <c r="Y9" s="18"/>
      <c r="Z9" s="18"/>
      <c r="AA9" s="18"/>
      <c r="AB9" s="18"/>
      <c r="AC9" s="18"/>
      <c r="AD9" s="18"/>
      <c r="AE9" s="18"/>
      <c r="AF9" s="18"/>
    </row>
    <row r="10" spans="1:32" ht="35.25" x14ac:dyDescent="0.15">
      <c r="A10" s="34" t="s">
        <v>239</v>
      </c>
      <c r="B10" s="53">
        <v>1</v>
      </c>
      <c r="C10" s="53">
        <v>5</v>
      </c>
      <c r="D10" s="53">
        <v>7</v>
      </c>
      <c r="E10" s="53">
        <v>5</v>
      </c>
      <c r="F10" s="53">
        <v>4</v>
      </c>
      <c r="G10" s="53">
        <v>5</v>
      </c>
      <c r="H10" s="53">
        <v>6</v>
      </c>
      <c r="I10" s="53">
        <v>5</v>
      </c>
      <c r="J10" s="53">
        <v>7</v>
      </c>
      <c r="K10" s="53">
        <v>7</v>
      </c>
      <c r="L10" s="53">
        <v>1</v>
      </c>
      <c r="M10" s="53">
        <v>5</v>
      </c>
      <c r="N10" s="53">
        <v>3</v>
      </c>
      <c r="O10" s="53">
        <v>6</v>
      </c>
      <c r="P10" s="62">
        <f t="shared" si="0"/>
        <v>67</v>
      </c>
      <c r="Q10" s="39" t="s">
        <v>222</v>
      </c>
      <c r="R10" s="18"/>
      <c r="S10" s="18"/>
      <c r="T10" s="18"/>
      <c r="U10" s="18"/>
      <c r="V10" s="18"/>
      <c r="W10" s="18"/>
      <c r="X10" s="18"/>
      <c r="Y10" s="18"/>
      <c r="Z10" s="18"/>
      <c r="AA10" s="18"/>
      <c r="AB10" s="18"/>
      <c r="AC10" s="18"/>
      <c r="AD10" s="18"/>
      <c r="AE10" s="18"/>
      <c r="AF10" s="18"/>
    </row>
    <row r="11" spans="1:32" ht="35.25" x14ac:dyDescent="0.15">
      <c r="A11" s="34" t="s">
        <v>254</v>
      </c>
      <c r="B11" s="53">
        <v>7</v>
      </c>
      <c r="C11" s="53">
        <v>1</v>
      </c>
      <c r="D11" s="53">
        <v>6</v>
      </c>
      <c r="E11" s="53">
        <v>5</v>
      </c>
      <c r="F11" s="53">
        <v>5</v>
      </c>
      <c r="G11" s="53">
        <v>3</v>
      </c>
      <c r="H11" s="53">
        <v>6</v>
      </c>
      <c r="I11" s="53">
        <v>7</v>
      </c>
      <c r="J11" s="53">
        <v>4</v>
      </c>
      <c r="K11" s="53">
        <v>2</v>
      </c>
      <c r="L11" s="53">
        <v>7</v>
      </c>
      <c r="M11" s="53">
        <v>6</v>
      </c>
      <c r="N11" s="53">
        <v>3</v>
      </c>
      <c r="O11" s="53">
        <v>3</v>
      </c>
      <c r="P11" s="62">
        <f t="shared" si="0"/>
        <v>65</v>
      </c>
      <c r="Q11" s="39" t="s">
        <v>222</v>
      </c>
      <c r="R11" s="18"/>
      <c r="S11" s="18"/>
      <c r="T11" s="18"/>
      <c r="U11" s="18"/>
      <c r="V11" s="18"/>
      <c r="W11" s="18"/>
      <c r="X11" s="18"/>
      <c r="Y11" s="18"/>
      <c r="Z11" s="18"/>
      <c r="AA11" s="18"/>
      <c r="AB11" s="18"/>
      <c r="AC11" s="18"/>
      <c r="AD11" s="18"/>
      <c r="AE11" s="18"/>
      <c r="AF11" s="18"/>
    </row>
    <row r="12" spans="1:32" ht="24" x14ac:dyDescent="0.15">
      <c r="A12" s="34" t="s">
        <v>240</v>
      </c>
      <c r="B12" s="53">
        <v>3</v>
      </c>
      <c r="C12" s="53">
        <v>1</v>
      </c>
      <c r="D12" s="53">
        <v>7</v>
      </c>
      <c r="E12" s="53">
        <v>4</v>
      </c>
      <c r="F12" s="53">
        <v>5</v>
      </c>
      <c r="G12" s="53">
        <v>4</v>
      </c>
      <c r="H12" s="53">
        <v>6</v>
      </c>
      <c r="I12" s="53">
        <v>5</v>
      </c>
      <c r="J12" s="53">
        <v>7</v>
      </c>
      <c r="K12" s="53">
        <v>5</v>
      </c>
      <c r="L12" s="53">
        <v>1</v>
      </c>
      <c r="M12" s="53">
        <v>5</v>
      </c>
      <c r="N12" s="53">
        <v>2</v>
      </c>
      <c r="O12" s="53">
        <v>5</v>
      </c>
      <c r="P12" s="62">
        <f t="shared" si="0"/>
        <v>60</v>
      </c>
      <c r="Q12" s="39" t="s">
        <v>222</v>
      </c>
      <c r="R12" s="18"/>
      <c r="S12" s="18"/>
      <c r="T12" s="18"/>
      <c r="U12" s="18"/>
      <c r="V12" s="18"/>
      <c r="W12" s="18"/>
      <c r="X12" s="18"/>
      <c r="Y12" s="18"/>
      <c r="Z12" s="18"/>
      <c r="AA12" s="18"/>
      <c r="AB12" s="18"/>
      <c r="AC12" s="18"/>
      <c r="AD12" s="18"/>
      <c r="AE12" s="18"/>
      <c r="AF12" s="18"/>
    </row>
    <row r="13" spans="1:32" s="19" customFormat="1" x14ac:dyDescent="0.15">
      <c r="A13" s="29" t="s">
        <v>203</v>
      </c>
      <c r="B13" s="18"/>
      <c r="C13" s="18"/>
      <c r="D13" s="18"/>
      <c r="E13" s="18"/>
      <c r="F13" s="18"/>
      <c r="G13" s="18"/>
      <c r="H13" s="18"/>
      <c r="I13" s="18"/>
      <c r="J13" s="18"/>
      <c r="K13" s="18"/>
      <c r="L13" s="18"/>
      <c r="M13" s="18"/>
      <c r="N13" s="18"/>
      <c r="O13" s="18"/>
      <c r="P13" s="18"/>
    </row>
    <row r="14" spans="1:32" ht="14.25" x14ac:dyDescent="0.15">
      <c r="A14" s="64" t="s">
        <v>228</v>
      </c>
      <c r="B14" s="53"/>
      <c r="C14" s="53"/>
      <c r="D14" s="53"/>
      <c r="E14" s="53"/>
      <c r="F14" s="53"/>
      <c r="G14" s="53"/>
      <c r="H14" s="53"/>
      <c r="I14" s="53"/>
      <c r="J14" s="53"/>
      <c r="K14" s="53"/>
      <c r="L14" s="53"/>
      <c r="M14" s="53"/>
      <c r="N14" s="53"/>
      <c r="O14" s="53"/>
      <c r="P14" s="62"/>
      <c r="Q14" s="39"/>
      <c r="R14" s="18"/>
      <c r="S14" s="18"/>
      <c r="T14" s="18"/>
      <c r="U14" s="18"/>
      <c r="V14" s="18"/>
      <c r="W14" s="18"/>
      <c r="X14" s="18"/>
      <c r="Y14" s="18"/>
      <c r="Z14" s="18"/>
      <c r="AA14" s="18"/>
      <c r="AB14" s="18"/>
      <c r="AC14" s="18"/>
      <c r="AD14" s="18"/>
      <c r="AE14" s="18"/>
      <c r="AF14" s="18"/>
    </row>
    <row r="15" spans="1:32" ht="35.25" x14ac:dyDescent="0.15">
      <c r="A15" s="34" t="s">
        <v>241</v>
      </c>
      <c r="B15" s="53">
        <v>6</v>
      </c>
      <c r="C15" s="53">
        <v>5</v>
      </c>
      <c r="D15" s="53">
        <v>2</v>
      </c>
      <c r="E15" s="53">
        <v>5</v>
      </c>
      <c r="F15" s="53">
        <v>7</v>
      </c>
      <c r="G15" s="53">
        <v>7</v>
      </c>
      <c r="H15" s="53">
        <v>7</v>
      </c>
      <c r="I15" s="53">
        <v>6</v>
      </c>
      <c r="J15" s="53">
        <v>7</v>
      </c>
      <c r="K15" s="53">
        <v>7</v>
      </c>
      <c r="L15" s="53">
        <v>7</v>
      </c>
      <c r="M15" s="53">
        <v>5</v>
      </c>
      <c r="N15" s="53">
        <v>7</v>
      </c>
      <c r="O15" s="53">
        <v>6</v>
      </c>
      <c r="P15" s="62">
        <f>SUM(B15:O15)</f>
        <v>84</v>
      </c>
      <c r="Q15" s="39" t="s">
        <v>222</v>
      </c>
      <c r="R15" s="18"/>
      <c r="S15" s="18"/>
      <c r="T15" s="18"/>
      <c r="U15" s="18"/>
      <c r="V15" s="18"/>
      <c r="W15" s="18"/>
      <c r="X15" s="18"/>
      <c r="Y15" s="18"/>
      <c r="Z15" s="18"/>
      <c r="AA15" s="18"/>
      <c r="AB15" s="18"/>
      <c r="AC15" s="18"/>
      <c r="AD15" s="18"/>
      <c r="AE15" s="18"/>
      <c r="AF15" s="18"/>
    </row>
    <row r="16" spans="1:32" ht="24" x14ac:dyDescent="0.15">
      <c r="A16" s="34" t="s">
        <v>242</v>
      </c>
      <c r="B16" s="53">
        <v>5</v>
      </c>
      <c r="C16" s="53">
        <v>5</v>
      </c>
      <c r="D16" s="53">
        <v>7</v>
      </c>
      <c r="E16" s="53">
        <v>6</v>
      </c>
      <c r="F16" s="53">
        <v>6</v>
      </c>
      <c r="G16" s="53">
        <v>7</v>
      </c>
      <c r="H16" s="53">
        <v>6</v>
      </c>
      <c r="I16" s="53">
        <v>6</v>
      </c>
      <c r="J16" s="53">
        <v>7</v>
      </c>
      <c r="K16" s="53">
        <v>7</v>
      </c>
      <c r="L16" s="53">
        <v>5</v>
      </c>
      <c r="M16" s="53">
        <v>5</v>
      </c>
      <c r="N16" s="53">
        <v>6</v>
      </c>
      <c r="O16" s="53">
        <v>5</v>
      </c>
      <c r="P16" s="62">
        <f>SUM(B16:O16)</f>
        <v>83</v>
      </c>
      <c r="Q16" s="39" t="s">
        <v>222</v>
      </c>
      <c r="R16" s="18"/>
      <c r="S16" s="18"/>
      <c r="T16" s="18"/>
      <c r="U16" s="18"/>
      <c r="V16" s="18"/>
      <c r="W16" s="18"/>
      <c r="X16" s="18"/>
      <c r="Y16" s="18"/>
      <c r="Z16" s="18"/>
      <c r="AA16" s="18"/>
      <c r="AB16" s="18"/>
      <c r="AC16" s="18"/>
      <c r="AD16" s="18"/>
      <c r="AE16" s="18"/>
      <c r="AF16" s="18"/>
    </row>
    <row r="17" spans="1:32" ht="24" x14ac:dyDescent="0.15">
      <c r="A17" s="34" t="s">
        <v>243</v>
      </c>
      <c r="B17" s="53">
        <v>3</v>
      </c>
      <c r="C17" s="53">
        <v>3</v>
      </c>
      <c r="D17" s="53">
        <v>7</v>
      </c>
      <c r="E17" s="53">
        <v>7</v>
      </c>
      <c r="F17" s="53">
        <v>5</v>
      </c>
      <c r="G17" s="53">
        <v>6</v>
      </c>
      <c r="H17" s="53">
        <v>7</v>
      </c>
      <c r="I17" s="53">
        <v>5</v>
      </c>
      <c r="J17" s="53">
        <v>7</v>
      </c>
      <c r="K17" s="53">
        <v>7</v>
      </c>
      <c r="L17" s="53">
        <v>7</v>
      </c>
      <c r="M17" s="53">
        <v>5</v>
      </c>
      <c r="N17" s="53">
        <v>6</v>
      </c>
      <c r="O17" s="53">
        <v>6</v>
      </c>
      <c r="P17" s="62">
        <f>SUM(B17:O17)</f>
        <v>81</v>
      </c>
      <c r="Q17" s="39" t="s">
        <v>222</v>
      </c>
      <c r="R17" s="18"/>
      <c r="S17" s="18"/>
      <c r="T17" s="18"/>
      <c r="U17" s="18"/>
      <c r="V17" s="18"/>
      <c r="W17" s="18"/>
      <c r="X17" s="18"/>
      <c r="Y17" s="18"/>
      <c r="Z17" s="18"/>
      <c r="AA17" s="18"/>
      <c r="AB17" s="18"/>
      <c r="AC17" s="18"/>
      <c r="AD17" s="18"/>
      <c r="AE17" s="18"/>
      <c r="AF17" s="18"/>
    </row>
    <row r="18" spans="1:32" ht="24" x14ac:dyDescent="0.15">
      <c r="A18" s="34" t="s">
        <v>244</v>
      </c>
      <c r="B18" s="53">
        <v>7</v>
      </c>
      <c r="C18" s="53">
        <v>1</v>
      </c>
      <c r="D18" s="53">
        <v>4</v>
      </c>
      <c r="E18" s="53">
        <v>7</v>
      </c>
      <c r="F18" s="53">
        <v>6</v>
      </c>
      <c r="G18" s="53">
        <v>6</v>
      </c>
      <c r="H18" s="53">
        <v>7</v>
      </c>
      <c r="I18" s="53">
        <v>7</v>
      </c>
      <c r="J18" s="53">
        <v>7</v>
      </c>
      <c r="K18" s="53">
        <v>6</v>
      </c>
      <c r="L18" s="53">
        <v>7</v>
      </c>
      <c r="M18" s="53">
        <v>5</v>
      </c>
      <c r="N18" s="53">
        <v>5</v>
      </c>
      <c r="O18" s="53">
        <v>6</v>
      </c>
      <c r="P18" s="62">
        <f>SUM(B18:O18)</f>
        <v>81</v>
      </c>
      <c r="Q18" s="39" t="s">
        <v>223</v>
      </c>
      <c r="R18" s="18"/>
      <c r="S18" s="18"/>
      <c r="T18" s="18"/>
      <c r="U18" s="18"/>
      <c r="V18" s="18"/>
      <c r="W18" s="18"/>
      <c r="X18" s="18"/>
      <c r="Y18" s="18"/>
      <c r="Z18" s="18"/>
      <c r="AA18" s="18"/>
      <c r="AB18" s="18"/>
      <c r="AC18" s="18"/>
      <c r="AD18" s="18"/>
      <c r="AE18" s="18"/>
      <c r="AF18" s="18"/>
    </row>
    <row r="19" spans="1:32" ht="24" x14ac:dyDescent="0.15">
      <c r="A19" s="34" t="s">
        <v>245</v>
      </c>
      <c r="B19" s="53">
        <v>7</v>
      </c>
      <c r="C19" s="53">
        <v>1</v>
      </c>
      <c r="D19" s="53">
        <v>4</v>
      </c>
      <c r="E19" s="53">
        <v>5</v>
      </c>
      <c r="F19" s="53">
        <v>5</v>
      </c>
      <c r="G19" s="53">
        <v>5</v>
      </c>
      <c r="H19" s="53">
        <v>7</v>
      </c>
      <c r="I19" s="53">
        <v>7</v>
      </c>
      <c r="J19" s="53">
        <v>7</v>
      </c>
      <c r="K19" s="53">
        <v>6</v>
      </c>
      <c r="L19" s="53">
        <v>5</v>
      </c>
      <c r="M19" s="53">
        <v>5</v>
      </c>
      <c r="N19" s="53">
        <v>6</v>
      </c>
      <c r="O19" s="53">
        <v>7</v>
      </c>
      <c r="P19" s="62">
        <f>SUM(B19:O19)</f>
        <v>77</v>
      </c>
      <c r="Q19" s="39" t="s">
        <v>223</v>
      </c>
      <c r="R19" s="18"/>
      <c r="S19" s="18"/>
      <c r="T19" s="18"/>
      <c r="U19" s="18"/>
      <c r="V19" s="18"/>
      <c r="W19" s="18"/>
      <c r="X19" s="18"/>
      <c r="Y19" s="18"/>
      <c r="Z19" s="18"/>
      <c r="AA19" s="18"/>
      <c r="AB19" s="18"/>
      <c r="AC19" s="18"/>
      <c r="AD19" s="18"/>
      <c r="AE19" s="18"/>
      <c r="AF19" s="18"/>
    </row>
    <row r="20" spans="1:32" x14ac:dyDescent="0.15">
      <c r="A20" s="34" t="s">
        <v>246</v>
      </c>
      <c r="B20" s="53"/>
      <c r="C20" s="53"/>
      <c r="D20" s="53"/>
      <c r="E20" s="53"/>
      <c r="F20" s="53"/>
      <c r="G20" s="53"/>
      <c r="H20" s="53"/>
      <c r="I20" s="53"/>
      <c r="J20" s="53"/>
      <c r="K20" s="53"/>
      <c r="L20" s="53"/>
      <c r="M20" s="53"/>
      <c r="N20" s="53"/>
      <c r="O20" s="53"/>
      <c r="P20" s="62"/>
      <c r="Q20" s="39" t="s">
        <v>223</v>
      </c>
      <c r="R20" s="18"/>
      <c r="S20" s="18"/>
      <c r="T20" s="18"/>
      <c r="U20" s="18"/>
      <c r="V20" s="18"/>
      <c r="W20" s="18"/>
      <c r="X20" s="18"/>
      <c r="Y20" s="18"/>
      <c r="Z20" s="18"/>
      <c r="AA20" s="18"/>
      <c r="AB20" s="18"/>
      <c r="AC20" s="18"/>
      <c r="AD20" s="18"/>
      <c r="AE20" s="18"/>
      <c r="AF20" s="18"/>
    </row>
    <row r="21" spans="1:32" x14ac:dyDescent="0.15">
      <c r="A21" s="34" t="s">
        <v>247</v>
      </c>
      <c r="B21" s="53"/>
      <c r="C21" s="53"/>
      <c r="D21" s="53"/>
      <c r="E21" s="53"/>
      <c r="F21" s="53"/>
      <c r="G21" s="53"/>
      <c r="H21" s="53"/>
      <c r="I21" s="53"/>
      <c r="J21" s="53"/>
      <c r="K21" s="53"/>
      <c r="L21" s="53"/>
      <c r="M21" s="53"/>
      <c r="N21" s="53"/>
      <c r="O21" s="53"/>
      <c r="P21" s="62"/>
      <c r="Q21" s="39" t="s">
        <v>223</v>
      </c>
      <c r="R21" s="18"/>
      <c r="S21" s="18"/>
      <c r="T21" s="18"/>
      <c r="U21" s="18"/>
      <c r="V21" s="18"/>
      <c r="W21" s="18"/>
      <c r="X21" s="18"/>
      <c r="Y21" s="18"/>
      <c r="Z21" s="18"/>
      <c r="AA21" s="18"/>
      <c r="AB21" s="18"/>
      <c r="AC21" s="18"/>
      <c r="AD21" s="18"/>
      <c r="AE21" s="18"/>
      <c r="AF21" s="18"/>
    </row>
    <row r="22" spans="1:32" ht="24" x14ac:dyDescent="0.15">
      <c r="A22" s="26" t="s">
        <v>248</v>
      </c>
      <c r="B22" s="53"/>
      <c r="C22" s="53"/>
      <c r="D22" s="53"/>
      <c r="E22" s="53"/>
      <c r="F22" s="53"/>
      <c r="G22" s="53"/>
      <c r="H22" s="53"/>
      <c r="I22" s="53"/>
      <c r="J22" s="53"/>
      <c r="K22" s="53"/>
      <c r="L22" s="53"/>
      <c r="M22" s="53"/>
      <c r="N22" s="53"/>
      <c r="O22" s="53"/>
      <c r="P22" s="62"/>
      <c r="Q22" s="39" t="s">
        <v>223</v>
      </c>
      <c r="R22" s="18"/>
      <c r="S22" s="18"/>
      <c r="T22" s="18"/>
      <c r="U22" s="18"/>
      <c r="V22" s="18"/>
      <c r="W22" s="18"/>
      <c r="X22" s="18"/>
      <c r="Y22" s="18"/>
      <c r="Z22" s="18"/>
      <c r="AA22" s="18"/>
      <c r="AB22" s="18"/>
      <c r="AC22" s="18"/>
      <c r="AD22" s="18"/>
      <c r="AE22" s="18"/>
      <c r="AF22" s="18"/>
    </row>
    <row r="23" spans="1:32" ht="46.5" x14ac:dyDescent="0.15">
      <c r="A23" s="34" t="s">
        <v>249</v>
      </c>
      <c r="B23" s="53">
        <v>6</v>
      </c>
      <c r="C23" s="53">
        <v>6</v>
      </c>
      <c r="D23" s="53">
        <v>6</v>
      </c>
      <c r="E23" s="53">
        <v>7</v>
      </c>
      <c r="F23" s="53">
        <v>5</v>
      </c>
      <c r="G23" s="53">
        <v>4</v>
      </c>
      <c r="H23" s="53">
        <v>7</v>
      </c>
      <c r="I23" s="53">
        <v>7</v>
      </c>
      <c r="J23" s="53">
        <v>7</v>
      </c>
      <c r="K23" s="53">
        <v>6</v>
      </c>
      <c r="L23" s="53">
        <v>1</v>
      </c>
      <c r="M23" s="53">
        <v>3</v>
      </c>
      <c r="N23" s="53">
        <v>7</v>
      </c>
      <c r="O23" s="53">
        <v>5</v>
      </c>
      <c r="P23" s="62">
        <f t="shared" ref="P23:P28" si="1">SUM(B23:O23)</f>
        <v>77</v>
      </c>
      <c r="Q23" s="39" t="s">
        <v>223</v>
      </c>
      <c r="R23" s="18"/>
      <c r="S23" s="18"/>
      <c r="T23" s="18"/>
      <c r="U23" s="18"/>
      <c r="V23" s="18"/>
      <c r="W23" s="18"/>
      <c r="X23" s="18"/>
      <c r="Y23" s="18"/>
      <c r="Z23" s="18"/>
      <c r="AA23" s="18"/>
      <c r="AB23" s="18"/>
      <c r="AC23" s="18"/>
      <c r="AD23" s="18"/>
      <c r="AE23" s="18"/>
      <c r="AF23" s="18"/>
    </row>
    <row r="24" spans="1:32" ht="61.5" customHeight="1" x14ac:dyDescent="0.15">
      <c r="A24" s="34" t="s">
        <v>250</v>
      </c>
      <c r="B24" s="53">
        <v>2</v>
      </c>
      <c r="C24" s="53">
        <v>5</v>
      </c>
      <c r="D24" s="53">
        <v>7</v>
      </c>
      <c r="E24" s="53">
        <v>7</v>
      </c>
      <c r="F24" s="53">
        <v>3</v>
      </c>
      <c r="G24" s="53">
        <v>5</v>
      </c>
      <c r="H24" s="53">
        <v>6</v>
      </c>
      <c r="I24" s="53">
        <v>6</v>
      </c>
      <c r="J24" s="53">
        <v>7</v>
      </c>
      <c r="K24" s="53">
        <v>7</v>
      </c>
      <c r="L24" s="53">
        <v>2</v>
      </c>
      <c r="M24" s="53">
        <v>5</v>
      </c>
      <c r="N24" s="53">
        <v>6</v>
      </c>
      <c r="O24" s="53">
        <v>6</v>
      </c>
      <c r="P24" s="62">
        <f t="shared" si="1"/>
        <v>74</v>
      </c>
      <c r="Q24" s="39" t="s">
        <v>223</v>
      </c>
      <c r="R24" s="18"/>
      <c r="S24" s="18"/>
      <c r="T24" s="18"/>
      <c r="U24" s="18"/>
      <c r="V24" s="18"/>
      <c r="W24" s="18"/>
      <c r="X24" s="18"/>
      <c r="Y24" s="18"/>
      <c r="Z24" s="18"/>
      <c r="AA24" s="18"/>
      <c r="AB24" s="18"/>
      <c r="AC24" s="18"/>
      <c r="AD24" s="18"/>
      <c r="AE24" s="18"/>
      <c r="AF24" s="18"/>
    </row>
    <row r="25" spans="1:32" ht="43.5" customHeight="1" x14ac:dyDescent="0.15">
      <c r="A25" s="34" t="s">
        <v>251</v>
      </c>
      <c r="B25" s="53">
        <v>6</v>
      </c>
      <c r="C25" s="53">
        <v>3</v>
      </c>
      <c r="D25" s="53">
        <v>4</v>
      </c>
      <c r="E25" s="53">
        <v>5</v>
      </c>
      <c r="F25" s="53">
        <v>5</v>
      </c>
      <c r="G25" s="53">
        <v>5</v>
      </c>
      <c r="H25" s="53">
        <v>6</v>
      </c>
      <c r="I25" s="53">
        <v>5</v>
      </c>
      <c r="J25" s="53">
        <v>7</v>
      </c>
      <c r="K25" s="53">
        <v>7</v>
      </c>
      <c r="L25" s="53">
        <v>4</v>
      </c>
      <c r="M25" s="53">
        <v>4</v>
      </c>
      <c r="N25" s="53">
        <v>4</v>
      </c>
      <c r="O25" s="53">
        <v>5</v>
      </c>
      <c r="P25" s="62">
        <f t="shared" si="1"/>
        <v>70</v>
      </c>
      <c r="Q25" s="39" t="s">
        <v>223</v>
      </c>
      <c r="R25" s="18"/>
      <c r="S25" s="18"/>
      <c r="T25" s="18"/>
      <c r="U25" s="18"/>
      <c r="V25" s="18"/>
      <c r="W25" s="18"/>
      <c r="X25" s="18"/>
      <c r="Y25" s="18"/>
      <c r="Z25" s="18"/>
      <c r="AA25" s="18"/>
      <c r="AB25" s="18"/>
      <c r="AC25" s="18"/>
      <c r="AD25" s="18"/>
      <c r="AE25" s="18"/>
      <c r="AF25" s="18"/>
    </row>
    <row r="26" spans="1:32" ht="35.25" x14ac:dyDescent="0.15">
      <c r="A26" s="34" t="s">
        <v>252</v>
      </c>
      <c r="B26" s="53">
        <v>3</v>
      </c>
      <c r="C26" s="53">
        <v>5</v>
      </c>
      <c r="D26" s="53">
        <v>3</v>
      </c>
      <c r="E26" s="53">
        <v>6</v>
      </c>
      <c r="F26" s="53">
        <v>2</v>
      </c>
      <c r="G26" s="53">
        <v>5</v>
      </c>
      <c r="H26" s="53">
        <v>5</v>
      </c>
      <c r="I26" s="53">
        <v>6</v>
      </c>
      <c r="J26" s="53">
        <v>7</v>
      </c>
      <c r="K26" s="53">
        <v>7</v>
      </c>
      <c r="L26" s="53">
        <v>5</v>
      </c>
      <c r="M26" s="53">
        <v>3</v>
      </c>
      <c r="N26" s="53">
        <v>6</v>
      </c>
      <c r="O26" s="53">
        <v>5</v>
      </c>
      <c r="P26" s="62">
        <f t="shared" si="1"/>
        <v>68</v>
      </c>
      <c r="Q26" s="39" t="s">
        <v>223</v>
      </c>
      <c r="R26" s="18"/>
      <c r="S26" s="18"/>
      <c r="T26" s="18"/>
      <c r="U26" s="18"/>
      <c r="V26" s="18"/>
      <c r="W26" s="18"/>
      <c r="X26" s="18"/>
      <c r="Y26" s="18"/>
      <c r="Z26" s="18"/>
      <c r="AA26" s="18"/>
      <c r="AB26" s="18"/>
      <c r="AC26" s="18"/>
      <c r="AD26" s="18"/>
      <c r="AE26" s="18"/>
      <c r="AF26" s="18"/>
    </row>
    <row r="27" spans="1:32" ht="24" x14ac:dyDescent="0.15">
      <c r="A27" s="34" t="s">
        <v>253</v>
      </c>
      <c r="B27" s="53">
        <v>7</v>
      </c>
      <c r="C27" s="53">
        <v>4</v>
      </c>
      <c r="D27" s="53">
        <v>1</v>
      </c>
      <c r="E27" s="53">
        <v>1</v>
      </c>
      <c r="F27" s="53">
        <v>5</v>
      </c>
      <c r="G27" s="53">
        <v>7</v>
      </c>
      <c r="H27" s="53">
        <v>6</v>
      </c>
      <c r="I27" s="53">
        <v>4</v>
      </c>
      <c r="J27" s="53">
        <v>7</v>
      </c>
      <c r="K27" s="53">
        <v>6</v>
      </c>
      <c r="L27" s="53">
        <v>5</v>
      </c>
      <c r="M27" s="53">
        <v>5</v>
      </c>
      <c r="N27" s="53">
        <v>2</v>
      </c>
      <c r="O27" s="53">
        <v>5</v>
      </c>
      <c r="P27" s="62">
        <f t="shared" si="1"/>
        <v>65</v>
      </c>
      <c r="Q27" s="39" t="s">
        <v>223</v>
      </c>
      <c r="R27" s="18"/>
      <c r="S27" s="18"/>
      <c r="T27" s="18"/>
      <c r="U27" s="18"/>
      <c r="V27" s="18"/>
      <c r="W27" s="18"/>
      <c r="X27" s="18"/>
      <c r="Y27" s="18"/>
      <c r="Z27" s="18"/>
      <c r="AA27" s="18"/>
      <c r="AB27" s="18"/>
      <c r="AC27" s="18"/>
      <c r="AD27" s="18"/>
      <c r="AE27" s="18"/>
      <c r="AF27" s="18"/>
    </row>
    <row r="28" spans="1:32" ht="24" x14ac:dyDescent="0.15">
      <c r="A28" s="34" t="s">
        <v>255</v>
      </c>
      <c r="B28" s="53">
        <v>2</v>
      </c>
      <c r="C28" s="53">
        <v>5</v>
      </c>
      <c r="D28" s="53">
        <v>1</v>
      </c>
      <c r="E28" s="53">
        <v>5</v>
      </c>
      <c r="F28" s="53">
        <v>3</v>
      </c>
      <c r="G28" s="53">
        <v>5</v>
      </c>
      <c r="H28" s="53">
        <v>6</v>
      </c>
      <c r="I28" s="53">
        <v>6</v>
      </c>
      <c r="J28" s="53">
        <v>7</v>
      </c>
      <c r="K28" s="53">
        <v>7</v>
      </c>
      <c r="L28" s="53">
        <v>1</v>
      </c>
      <c r="M28" s="53">
        <v>5</v>
      </c>
      <c r="N28" s="53">
        <v>4</v>
      </c>
      <c r="O28" s="53">
        <v>6</v>
      </c>
      <c r="P28" s="62">
        <f t="shared" si="1"/>
        <v>63</v>
      </c>
      <c r="Q28" s="39" t="s">
        <v>223</v>
      </c>
      <c r="R28" s="18"/>
      <c r="S28" s="18"/>
      <c r="T28" s="18"/>
      <c r="U28" s="18"/>
      <c r="V28" s="18"/>
      <c r="W28" s="18"/>
      <c r="X28" s="18"/>
      <c r="Y28" s="18"/>
      <c r="Z28" s="18"/>
      <c r="AA28" s="18"/>
      <c r="AB28" s="18"/>
      <c r="AC28" s="18"/>
      <c r="AD28" s="18"/>
      <c r="AE28" s="18"/>
      <c r="AF28" s="18"/>
    </row>
  </sheetData>
  <autoFilter ref="Q1:Q28" xr:uid="{2C847959-5C8B-C745-AE48-2C7D29F82DDE}"/>
  <sortState xmlns:xlrd2="http://schemas.microsoft.com/office/spreadsheetml/2017/richdata2" ref="A9:P13">
    <sortCondition descending="1" ref="P9:P13"/>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20FD-9624-AC42-BD55-F87BD94F79A9}">
  <dimension ref="A1:AF28"/>
  <sheetViews>
    <sheetView workbookViewId="0">
      <pane xSplit="1" topLeftCell="B1" activePane="topRight" state="frozen"/>
      <selection pane="topRight" activeCell="R6" sqref="R6"/>
    </sheetView>
  </sheetViews>
  <sheetFormatPr defaultColWidth="11.4609375" defaultRowHeight="12.75" x14ac:dyDescent="0.15"/>
  <cols>
    <col min="1" max="1" width="50.83984375" style="32" customWidth="1"/>
    <col min="2" max="15" width="0" hidden="1" customWidth="1"/>
    <col min="16" max="16" width="19.6875" bestFit="1" customWidth="1"/>
    <col min="17" max="17" width="16.71875" bestFit="1" customWidth="1"/>
  </cols>
  <sheetData>
    <row r="1" spans="1:32" ht="13.5" x14ac:dyDescent="0.15">
      <c r="A1" s="31"/>
      <c r="P1" s="50" t="s">
        <v>224</v>
      </c>
      <c r="Q1" s="50" t="s">
        <v>225</v>
      </c>
      <c r="R1" s="60">
        <v>45658</v>
      </c>
      <c r="S1" s="60">
        <v>45809</v>
      </c>
      <c r="T1" s="60">
        <v>45962</v>
      </c>
      <c r="U1" s="60">
        <v>46113</v>
      </c>
      <c r="V1" s="60">
        <v>46266</v>
      </c>
      <c r="W1" s="60">
        <v>46419</v>
      </c>
      <c r="X1" s="60">
        <v>46569</v>
      </c>
      <c r="Y1" s="60">
        <v>46722</v>
      </c>
      <c r="Z1" s="60">
        <v>46874</v>
      </c>
      <c r="AA1" s="60">
        <v>47027</v>
      </c>
      <c r="AB1" s="60">
        <v>47178</v>
      </c>
      <c r="AC1" s="60">
        <v>47331</v>
      </c>
      <c r="AD1" s="60">
        <v>47484</v>
      </c>
      <c r="AE1" s="60">
        <v>47635</v>
      </c>
      <c r="AF1" s="60">
        <v>47788</v>
      </c>
    </row>
    <row r="2" spans="1:32" ht="37.5" x14ac:dyDescent="0.15">
      <c r="A2" s="34" t="s">
        <v>230</v>
      </c>
      <c r="B2" s="53">
        <v>7</v>
      </c>
      <c r="C2" s="53">
        <v>6</v>
      </c>
      <c r="D2" s="53">
        <v>7</v>
      </c>
      <c r="E2" s="53">
        <v>7</v>
      </c>
      <c r="F2" s="53">
        <v>5</v>
      </c>
      <c r="G2" s="53">
        <v>7</v>
      </c>
      <c r="H2" s="53">
        <v>7</v>
      </c>
      <c r="I2" s="53">
        <v>7</v>
      </c>
      <c r="J2" s="53">
        <v>7</v>
      </c>
      <c r="K2" s="53">
        <v>7</v>
      </c>
      <c r="L2" s="53">
        <v>5</v>
      </c>
      <c r="M2" s="53">
        <v>6</v>
      </c>
      <c r="N2" s="53">
        <v>6</v>
      </c>
      <c r="O2" s="53">
        <v>6</v>
      </c>
      <c r="P2" s="62">
        <f t="shared" ref="P2:P12" si="0">SUM(B2:O2)</f>
        <v>90</v>
      </c>
      <c r="Q2" s="39" t="s">
        <v>222</v>
      </c>
      <c r="R2" s="18"/>
      <c r="S2" s="18"/>
      <c r="T2" s="18"/>
      <c r="U2" s="18"/>
      <c r="V2" s="18"/>
      <c r="W2" s="18"/>
      <c r="X2" s="18"/>
      <c r="Y2" s="18"/>
      <c r="Z2" s="18"/>
      <c r="AA2" s="18"/>
      <c r="AB2" s="18"/>
      <c r="AC2" s="18"/>
      <c r="AD2" s="18"/>
      <c r="AE2" s="18"/>
      <c r="AF2" s="18"/>
    </row>
    <row r="3" spans="1:32" ht="48.75" x14ac:dyDescent="0.15">
      <c r="A3" s="34" t="s">
        <v>229</v>
      </c>
      <c r="B3" s="53">
        <v>7</v>
      </c>
      <c r="C3" s="53">
        <v>6</v>
      </c>
      <c r="D3" s="53">
        <v>7</v>
      </c>
      <c r="E3" s="53">
        <v>7</v>
      </c>
      <c r="F3" s="53">
        <v>5</v>
      </c>
      <c r="G3" s="53">
        <v>7</v>
      </c>
      <c r="H3" s="53">
        <v>7</v>
      </c>
      <c r="I3" s="53">
        <v>7</v>
      </c>
      <c r="J3" s="53">
        <v>7</v>
      </c>
      <c r="K3" s="53">
        <v>7</v>
      </c>
      <c r="L3" s="53">
        <v>5</v>
      </c>
      <c r="M3" s="53">
        <v>6</v>
      </c>
      <c r="N3" s="53">
        <v>6</v>
      </c>
      <c r="O3" s="53">
        <v>6</v>
      </c>
      <c r="P3" s="62">
        <f t="shared" si="0"/>
        <v>90</v>
      </c>
      <c r="Q3" s="39" t="s">
        <v>222</v>
      </c>
      <c r="R3" s="18"/>
      <c r="S3" s="18"/>
      <c r="T3" s="18"/>
      <c r="U3" s="18"/>
      <c r="V3" s="18"/>
      <c r="W3" s="18"/>
      <c r="X3" s="18"/>
      <c r="Y3" s="18"/>
      <c r="Z3" s="18"/>
      <c r="AA3" s="18"/>
      <c r="AB3" s="18"/>
      <c r="AC3" s="18"/>
      <c r="AD3" s="18"/>
      <c r="AE3" s="18"/>
      <c r="AF3" s="18"/>
    </row>
    <row r="4" spans="1:32" ht="35.25" x14ac:dyDescent="0.15">
      <c r="A4" s="34" t="s">
        <v>233</v>
      </c>
      <c r="B4" s="53">
        <v>5</v>
      </c>
      <c r="C4" s="53">
        <v>5</v>
      </c>
      <c r="D4" s="53">
        <v>7</v>
      </c>
      <c r="E4" s="53">
        <v>6</v>
      </c>
      <c r="F4" s="53">
        <v>6</v>
      </c>
      <c r="G4" s="53">
        <v>5</v>
      </c>
      <c r="H4" s="53">
        <v>7</v>
      </c>
      <c r="I4" s="53">
        <v>6</v>
      </c>
      <c r="J4" s="53">
        <v>7</v>
      </c>
      <c r="K4" s="53">
        <v>6</v>
      </c>
      <c r="L4" s="53">
        <v>7</v>
      </c>
      <c r="M4" s="53">
        <v>6</v>
      </c>
      <c r="N4" s="53">
        <v>6</v>
      </c>
      <c r="O4" s="53">
        <v>6</v>
      </c>
      <c r="P4" s="62">
        <f t="shared" si="0"/>
        <v>85</v>
      </c>
      <c r="Q4" s="39" t="s">
        <v>222</v>
      </c>
      <c r="R4" s="18"/>
      <c r="S4" s="18"/>
      <c r="T4" s="18"/>
      <c r="U4" s="18"/>
      <c r="V4" s="18"/>
      <c r="W4" s="18"/>
      <c r="X4" s="18"/>
      <c r="Y4" s="18"/>
      <c r="Z4" s="18"/>
      <c r="AA4" s="18"/>
      <c r="AB4" s="18"/>
      <c r="AC4" s="18"/>
      <c r="AD4" s="18"/>
      <c r="AE4" s="18"/>
      <c r="AF4" s="18"/>
    </row>
    <row r="5" spans="1:32" ht="24" x14ac:dyDescent="0.15">
      <c r="A5" s="34" t="s">
        <v>234</v>
      </c>
      <c r="B5" s="53">
        <v>6</v>
      </c>
      <c r="C5" s="53">
        <v>5</v>
      </c>
      <c r="D5" s="53">
        <v>7</v>
      </c>
      <c r="E5" s="53">
        <v>7</v>
      </c>
      <c r="F5" s="53">
        <v>5</v>
      </c>
      <c r="G5" s="53">
        <v>7</v>
      </c>
      <c r="H5" s="53">
        <v>7</v>
      </c>
      <c r="I5" s="53">
        <v>5</v>
      </c>
      <c r="J5" s="53">
        <v>7</v>
      </c>
      <c r="K5" s="53">
        <v>6</v>
      </c>
      <c r="L5" s="53">
        <v>5</v>
      </c>
      <c r="M5" s="53">
        <v>6</v>
      </c>
      <c r="N5" s="53">
        <v>6</v>
      </c>
      <c r="O5" s="53">
        <v>6</v>
      </c>
      <c r="P5" s="62">
        <f t="shared" si="0"/>
        <v>85</v>
      </c>
      <c r="Q5" s="39" t="s">
        <v>222</v>
      </c>
      <c r="R5" s="18"/>
      <c r="S5" s="18"/>
      <c r="T5" s="18"/>
      <c r="U5" s="18"/>
      <c r="V5" s="18"/>
      <c r="W5" s="18"/>
      <c r="X5" s="18"/>
      <c r="Y5" s="18"/>
      <c r="Z5" s="18"/>
      <c r="AA5" s="18"/>
      <c r="AB5" s="18"/>
      <c r="AC5" s="18"/>
      <c r="AD5" s="18"/>
      <c r="AE5" s="18"/>
      <c r="AF5" s="18"/>
    </row>
    <row r="6" spans="1:32" ht="115.5" x14ac:dyDescent="0.15">
      <c r="A6" s="34" t="s">
        <v>256</v>
      </c>
      <c r="B6" s="53">
        <v>7</v>
      </c>
      <c r="C6" s="53">
        <v>6</v>
      </c>
      <c r="D6" s="53">
        <v>7</v>
      </c>
      <c r="E6" s="53">
        <v>7</v>
      </c>
      <c r="F6" s="53">
        <v>2</v>
      </c>
      <c r="G6" s="53">
        <v>5</v>
      </c>
      <c r="H6" s="53">
        <v>7</v>
      </c>
      <c r="I6" s="53">
        <v>5</v>
      </c>
      <c r="J6" s="53">
        <v>7</v>
      </c>
      <c r="K6" s="53">
        <v>7</v>
      </c>
      <c r="L6" s="53">
        <v>6</v>
      </c>
      <c r="M6" s="53">
        <v>5</v>
      </c>
      <c r="N6" s="53">
        <v>7</v>
      </c>
      <c r="O6" s="53">
        <v>5</v>
      </c>
      <c r="P6" s="39">
        <f t="shared" si="0"/>
        <v>83</v>
      </c>
      <c r="Q6" s="39" t="s">
        <v>222</v>
      </c>
      <c r="R6" s="18"/>
      <c r="S6" s="18"/>
      <c r="T6" s="18"/>
      <c r="U6" s="18"/>
      <c r="V6" s="18"/>
      <c r="W6" s="18"/>
      <c r="X6" s="18"/>
      <c r="Y6" s="18"/>
      <c r="Z6" s="18"/>
      <c r="AA6" s="18"/>
      <c r="AB6" s="18"/>
      <c r="AC6" s="18"/>
      <c r="AD6" s="18"/>
      <c r="AE6" s="18"/>
      <c r="AF6" s="18"/>
    </row>
    <row r="7" spans="1:32" ht="24" x14ac:dyDescent="0.15">
      <c r="A7" s="34" t="s">
        <v>236</v>
      </c>
      <c r="B7" s="53">
        <v>3</v>
      </c>
      <c r="C7" s="53">
        <v>5</v>
      </c>
      <c r="D7" s="53">
        <v>7</v>
      </c>
      <c r="E7" s="53">
        <v>7</v>
      </c>
      <c r="F7" s="53">
        <v>5</v>
      </c>
      <c r="G7" s="53">
        <v>5</v>
      </c>
      <c r="H7" s="53">
        <v>7</v>
      </c>
      <c r="I7" s="53">
        <v>6</v>
      </c>
      <c r="J7" s="53">
        <v>7</v>
      </c>
      <c r="K7" s="53">
        <v>6</v>
      </c>
      <c r="L7" s="53">
        <v>5</v>
      </c>
      <c r="M7" s="53">
        <v>6</v>
      </c>
      <c r="N7" s="53">
        <v>6</v>
      </c>
      <c r="O7" s="53">
        <v>6</v>
      </c>
      <c r="P7" s="62">
        <f t="shared" si="0"/>
        <v>81</v>
      </c>
      <c r="Q7" s="39" t="s">
        <v>222</v>
      </c>
      <c r="R7" s="18"/>
      <c r="S7" s="18"/>
      <c r="T7" s="18"/>
      <c r="U7" s="18"/>
      <c r="V7" s="18"/>
      <c r="W7" s="18"/>
      <c r="X7" s="18"/>
      <c r="Y7" s="18"/>
      <c r="Z7" s="18"/>
      <c r="AA7" s="18"/>
      <c r="AB7" s="18"/>
      <c r="AC7" s="18"/>
      <c r="AD7" s="18"/>
      <c r="AE7" s="18"/>
      <c r="AF7" s="18"/>
    </row>
    <row r="8" spans="1:32" x14ac:dyDescent="0.15">
      <c r="A8" s="34" t="s">
        <v>237</v>
      </c>
      <c r="B8" s="53">
        <v>5</v>
      </c>
      <c r="C8" s="53">
        <v>7</v>
      </c>
      <c r="D8" s="53">
        <v>7</v>
      </c>
      <c r="E8" s="53">
        <v>5</v>
      </c>
      <c r="F8" s="53">
        <v>6</v>
      </c>
      <c r="G8" s="53">
        <v>4</v>
      </c>
      <c r="H8" s="53">
        <v>7</v>
      </c>
      <c r="I8" s="53">
        <v>6</v>
      </c>
      <c r="J8" s="53">
        <v>7</v>
      </c>
      <c r="K8" s="53">
        <v>7</v>
      </c>
      <c r="L8" s="53">
        <v>1</v>
      </c>
      <c r="M8" s="53">
        <v>6</v>
      </c>
      <c r="N8" s="53">
        <v>6</v>
      </c>
      <c r="O8" s="53">
        <v>6</v>
      </c>
      <c r="P8" s="62">
        <f t="shared" si="0"/>
        <v>80</v>
      </c>
      <c r="Q8" s="39" t="s">
        <v>222</v>
      </c>
      <c r="R8" s="18"/>
      <c r="S8" s="18"/>
      <c r="T8" s="18"/>
      <c r="U8" s="18"/>
      <c r="V8" s="18"/>
      <c r="W8" s="18"/>
      <c r="X8" s="18"/>
      <c r="Y8" s="18"/>
      <c r="Z8" s="18"/>
      <c r="AA8" s="18"/>
      <c r="AB8" s="18"/>
      <c r="AC8" s="18"/>
      <c r="AD8" s="18"/>
      <c r="AE8" s="18"/>
      <c r="AF8" s="18"/>
    </row>
    <row r="9" spans="1:32" ht="24" x14ac:dyDescent="0.15">
      <c r="A9" s="34" t="s">
        <v>201</v>
      </c>
      <c r="B9" s="53">
        <v>6</v>
      </c>
      <c r="C9" s="53">
        <v>3</v>
      </c>
      <c r="D9" s="53">
        <v>5</v>
      </c>
      <c r="E9" s="53">
        <v>7</v>
      </c>
      <c r="F9" s="53">
        <v>5</v>
      </c>
      <c r="G9" s="53">
        <v>4</v>
      </c>
      <c r="H9" s="53">
        <v>7</v>
      </c>
      <c r="I9" s="53">
        <v>7</v>
      </c>
      <c r="J9" s="53">
        <v>7</v>
      </c>
      <c r="K9" s="53">
        <v>6</v>
      </c>
      <c r="L9" s="53">
        <v>7</v>
      </c>
      <c r="M9" s="53">
        <v>5</v>
      </c>
      <c r="N9" s="53">
        <v>6</v>
      </c>
      <c r="O9" s="53">
        <v>4</v>
      </c>
      <c r="P9" s="62">
        <f t="shared" si="0"/>
        <v>79</v>
      </c>
      <c r="Q9" s="39" t="s">
        <v>222</v>
      </c>
      <c r="R9" s="18"/>
      <c r="S9" s="18"/>
      <c r="T9" s="18"/>
      <c r="U9" s="18"/>
      <c r="V9" s="18"/>
      <c r="W9" s="18"/>
      <c r="X9" s="18"/>
      <c r="Y9" s="18"/>
      <c r="Z9" s="18"/>
      <c r="AA9" s="18"/>
      <c r="AB9" s="18"/>
      <c r="AC9" s="18"/>
      <c r="AD9" s="18"/>
      <c r="AE9" s="18"/>
      <c r="AF9" s="18"/>
    </row>
    <row r="10" spans="1:32" ht="35.25" x14ac:dyDescent="0.15">
      <c r="A10" s="34" t="s">
        <v>239</v>
      </c>
      <c r="B10" s="53">
        <v>1</v>
      </c>
      <c r="C10" s="53">
        <v>5</v>
      </c>
      <c r="D10" s="53">
        <v>7</v>
      </c>
      <c r="E10" s="53">
        <v>5</v>
      </c>
      <c r="F10" s="53">
        <v>4</v>
      </c>
      <c r="G10" s="53">
        <v>5</v>
      </c>
      <c r="H10" s="53">
        <v>6</v>
      </c>
      <c r="I10" s="53">
        <v>5</v>
      </c>
      <c r="J10" s="53">
        <v>7</v>
      </c>
      <c r="K10" s="53">
        <v>7</v>
      </c>
      <c r="L10" s="53">
        <v>1</v>
      </c>
      <c r="M10" s="53">
        <v>5</v>
      </c>
      <c r="N10" s="53">
        <v>3</v>
      </c>
      <c r="O10" s="53">
        <v>6</v>
      </c>
      <c r="P10" s="62">
        <f t="shared" si="0"/>
        <v>67</v>
      </c>
      <c r="Q10" s="39" t="s">
        <v>222</v>
      </c>
      <c r="R10" s="18"/>
      <c r="S10" s="18"/>
      <c r="T10" s="18"/>
      <c r="U10" s="18"/>
      <c r="V10" s="18"/>
      <c r="W10" s="18"/>
      <c r="X10" s="18"/>
      <c r="Y10" s="18"/>
      <c r="Z10" s="18"/>
      <c r="AA10" s="18"/>
      <c r="AB10" s="18"/>
      <c r="AC10" s="18"/>
      <c r="AD10" s="18"/>
      <c r="AE10" s="18"/>
      <c r="AF10" s="18"/>
    </row>
    <row r="11" spans="1:32" ht="35.25" x14ac:dyDescent="0.15">
      <c r="A11" s="34" t="s">
        <v>254</v>
      </c>
      <c r="B11" s="53">
        <v>7</v>
      </c>
      <c r="C11" s="53">
        <v>1</v>
      </c>
      <c r="D11" s="53">
        <v>6</v>
      </c>
      <c r="E11" s="53">
        <v>5</v>
      </c>
      <c r="F11" s="53">
        <v>5</v>
      </c>
      <c r="G11" s="53">
        <v>3</v>
      </c>
      <c r="H11" s="53">
        <v>6</v>
      </c>
      <c r="I11" s="53">
        <v>7</v>
      </c>
      <c r="J11" s="53">
        <v>4</v>
      </c>
      <c r="K11" s="53">
        <v>2</v>
      </c>
      <c r="L11" s="53">
        <v>7</v>
      </c>
      <c r="M11" s="53">
        <v>6</v>
      </c>
      <c r="N11" s="53">
        <v>3</v>
      </c>
      <c r="O11" s="53">
        <v>3</v>
      </c>
      <c r="P11" s="62">
        <f t="shared" si="0"/>
        <v>65</v>
      </c>
      <c r="Q11" s="39" t="s">
        <v>222</v>
      </c>
      <c r="R11" s="18"/>
      <c r="S11" s="18"/>
      <c r="T11" s="18"/>
      <c r="U11" s="18"/>
      <c r="V11" s="18"/>
      <c r="W11" s="18"/>
      <c r="X11" s="18"/>
      <c r="Y11" s="18"/>
      <c r="Z11" s="18"/>
      <c r="AA11" s="18"/>
      <c r="AB11" s="18"/>
      <c r="AC11" s="18"/>
      <c r="AD11" s="18"/>
      <c r="AE11" s="18"/>
      <c r="AF11" s="18"/>
    </row>
    <row r="12" spans="1:32" ht="24" x14ac:dyDescent="0.15">
      <c r="A12" s="34" t="s">
        <v>240</v>
      </c>
      <c r="B12" s="53">
        <v>3</v>
      </c>
      <c r="C12" s="53">
        <v>1</v>
      </c>
      <c r="D12" s="53">
        <v>7</v>
      </c>
      <c r="E12" s="53">
        <v>4</v>
      </c>
      <c r="F12" s="53">
        <v>5</v>
      </c>
      <c r="G12" s="53">
        <v>4</v>
      </c>
      <c r="H12" s="53">
        <v>6</v>
      </c>
      <c r="I12" s="53">
        <v>5</v>
      </c>
      <c r="J12" s="53">
        <v>7</v>
      </c>
      <c r="K12" s="53">
        <v>5</v>
      </c>
      <c r="L12" s="53">
        <v>1</v>
      </c>
      <c r="M12" s="53">
        <v>5</v>
      </c>
      <c r="N12" s="53">
        <v>2</v>
      </c>
      <c r="O12" s="53">
        <v>5</v>
      </c>
      <c r="P12" s="62">
        <f t="shared" si="0"/>
        <v>60</v>
      </c>
      <c r="Q12" s="39" t="s">
        <v>222</v>
      </c>
      <c r="R12" s="18"/>
      <c r="S12" s="18"/>
      <c r="T12" s="18"/>
      <c r="U12" s="18"/>
      <c r="V12" s="18"/>
      <c r="W12" s="18"/>
      <c r="X12" s="18"/>
      <c r="Y12" s="18"/>
      <c r="Z12" s="18"/>
      <c r="AA12" s="18"/>
      <c r="AB12" s="18"/>
      <c r="AC12" s="18"/>
      <c r="AD12" s="18"/>
      <c r="AE12" s="18"/>
      <c r="AF12" s="18"/>
    </row>
    <row r="13" spans="1:32" s="19" customFormat="1" x14ac:dyDescent="0.15">
      <c r="A13" s="29" t="s">
        <v>203</v>
      </c>
      <c r="B13" s="18"/>
      <c r="C13" s="18"/>
      <c r="D13" s="18"/>
      <c r="E13" s="18"/>
      <c r="F13" s="18"/>
      <c r="G13" s="18"/>
      <c r="H13" s="18"/>
      <c r="I13" s="18"/>
      <c r="J13" s="18"/>
      <c r="K13" s="18"/>
      <c r="L13" s="18"/>
      <c r="M13" s="18"/>
      <c r="N13" s="18"/>
      <c r="O13" s="18"/>
      <c r="P13" s="18"/>
    </row>
    <row r="14" spans="1:32" ht="14.25" x14ac:dyDescent="0.15">
      <c r="A14" s="64" t="s">
        <v>228</v>
      </c>
      <c r="B14" s="53"/>
      <c r="C14" s="53"/>
      <c r="D14" s="53"/>
      <c r="E14" s="53"/>
      <c r="F14" s="53"/>
      <c r="G14" s="53"/>
      <c r="H14" s="53"/>
      <c r="I14" s="53"/>
      <c r="J14" s="53"/>
      <c r="K14" s="53"/>
      <c r="L14" s="53"/>
      <c r="M14" s="53"/>
      <c r="N14" s="53"/>
      <c r="O14" s="53"/>
      <c r="P14" s="62"/>
      <c r="Q14" s="39"/>
      <c r="R14" s="18"/>
      <c r="S14" s="18"/>
      <c r="T14" s="18"/>
      <c r="U14" s="18"/>
      <c r="V14" s="18"/>
      <c r="W14" s="18"/>
      <c r="X14" s="18"/>
      <c r="Y14" s="18"/>
      <c r="Z14" s="18"/>
      <c r="AA14" s="18"/>
      <c r="AB14" s="18"/>
      <c r="AC14" s="18"/>
      <c r="AD14" s="18"/>
      <c r="AE14" s="18"/>
      <c r="AF14" s="18"/>
    </row>
    <row r="15" spans="1:32" ht="50.25" customHeight="1" x14ac:dyDescent="0.15">
      <c r="A15" s="34" t="s">
        <v>241</v>
      </c>
      <c r="B15" s="53">
        <v>6</v>
      </c>
      <c r="C15" s="53">
        <v>5</v>
      </c>
      <c r="D15" s="53">
        <v>2</v>
      </c>
      <c r="E15" s="53">
        <v>5</v>
      </c>
      <c r="F15" s="53">
        <v>7</v>
      </c>
      <c r="G15" s="53">
        <v>7</v>
      </c>
      <c r="H15" s="53">
        <v>7</v>
      </c>
      <c r="I15" s="53">
        <v>6</v>
      </c>
      <c r="J15" s="53">
        <v>7</v>
      </c>
      <c r="K15" s="53">
        <v>7</v>
      </c>
      <c r="L15" s="53">
        <v>7</v>
      </c>
      <c r="M15" s="53">
        <v>5</v>
      </c>
      <c r="N15" s="53">
        <v>7</v>
      </c>
      <c r="O15" s="53">
        <v>6</v>
      </c>
      <c r="P15" s="62">
        <f>SUM(B15:O15)</f>
        <v>84</v>
      </c>
      <c r="Q15" s="39" t="s">
        <v>222</v>
      </c>
      <c r="R15" s="18"/>
      <c r="S15" s="18"/>
      <c r="T15" s="18"/>
      <c r="U15" s="18"/>
      <c r="V15" s="18"/>
      <c r="W15" s="18"/>
      <c r="X15" s="18"/>
      <c r="Y15" s="18"/>
      <c r="Z15" s="18"/>
      <c r="AA15" s="18"/>
      <c r="AB15" s="18"/>
      <c r="AC15" s="18"/>
      <c r="AD15" s="18"/>
      <c r="AE15" s="18"/>
      <c r="AF15" s="18"/>
    </row>
    <row r="16" spans="1:32" ht="24" x14ac:dyDescent="0.15">
      <c r="A16" s="34" t="s">
        <v>242</v>
      </c>
      <c r="B16" s="53">
        <v>5</v>
      </c>
      <c r="C16" s="53">
        <v>5</v>
      </c>
      <c r="D16" s="53">
        <v>7</v>
      </c>
      <c r="E16" s="53">
        <v>6</v>
      </c>
      <c r="F16" s="53">
        <v>6</v>
      </c>
      <c r="G16" s="53">
        <v>7</v>
      </c>
      <c r="H16" s="53">
        <v>6</v>
      </c>
      <c r="I16" s="53">
        <v>6</v>
      </c>
      <c r="J16" s="53">
        <v>7</v>
      </c>
      <c r="K16" s="53">
        <v>7</v>
      </c>
      <c r="L16" s="53">
        <v>5</v>
      </c>
      <c r="M16" s="53">
        <v>5</v>
      </c>
      <c r="N16" s="53">
        <v>6</v>
      </c>
      <c r="O16" s="53">
        <v>5</v>
      </c>
      <c r="P16" s="62">
        <f>SUM(B16:O16)</f>
        <v>83</v>
      </c>
      <c r="Q16" s="39" t="s">
        <v>222</v>
      </c>
      <c r="R16" s="18"/>
      <c r="S16" s="18"/>
      <c r="T16" s="18"/>
      <c r="U16" s="18"/>
      <c r="V16" s="18"/>
      <c r="W16" s="18"/>
      <c r="X16" s="18"/>
      <c r="Y16" s="18"/>
      <c r="Z16" s="18"/>
      <c r="AA16" s="18"/>
      <c r="AB16" s="18"/>
      <c r="AC16" s="18"/>
      <c r="AD16" s="18"/>
      <c r="AE16" s="18"/>
      <c r="AF16" s="18"/>
    </row>
    <row r="17" spans="1:32" ht="24" x14ac:dyDescent="0.15">
      <c r="A17" s="34" t="s">
        <v>243</v>
      </c>
      <c r="B17" s="53">
        <v>3</v>
      </c>
      <c r="C17" s="53">
        <v>3</v>
      </c>
      <c r="D17" s="53">
        <v>7</v>
      </c>
      <c r="E17" s="53">
        <v>7</v>
      </c>
      <c r="F17" s="53">
        <v>5</v>
      </c>
      <c r="G17" s="53">
        <v>6</v>
      </c>
      <c r="H17" s="53">
        <v>7</v>
      </c>
      <c r="I17" s="53">
        <v>5</v>
      </c>
      <c r="J17" s="53">
        <v>7</v>
      </c>
      <c r="K17" s="53">
        <v>7</v>
      </c>
      <c r="L17" s="53">
        <v>7</v>
      </c>
      <c r="M17" s="53">
        <v>5</v>
      </c>
      <c r="N17" s="53">
        <v>6</v>
      </c>
      <c r="O17" s="53">
        <v>6</v>
      </c>
      <c r="P17" s="62">
        <f>SUM(B17:O17)</f>
        <v>81</v>
      </c>
      <c r="Q17" s="39" t="s">
        <v>222</v>
      </c>
      <c r="R17" s="18"/>
      <c r="S17" s="18"/>
      <c r="T17" s="18"/>
      <c r="U17" s="18"/>
      <c r="V17" s="18"/>
      <c r="W17" s="18"/>
      <c r="X17" s="18"/>
      <c r="Y17" s="18"/>
      <c r="Z17" s="18"/>
      <c r="AA17" s="18"/>
      <c r="AB17" s="18"/>
      <c r="AC17" s="18"/>
      <c r="AD17" s="18"/>
      <c r="AE17" s="18"/>
      <c r="AF17" s="18"/>
    </row>
    <row r="18" spans="1:32" ht="24" x14ac:dyDescent="0.15">
      <c r="A18" s="34" t="s">
        <v>244</v>
      </c>
      <c r="B18" s="53">
        <v>7</v>
      </c>
      <c r="C18" s="53">
        <v>1</v>
      </c>
      <c r="D18" s="53">
        <v>4</v>
      </c>
      <c r="E18" s="53">
        <v>7</v>
      </c>
      <c r="F18" s="53">
        <v>6</v>
      </c>
      <c r="G18" s="53">
        <v>6</v>
      </c>
      <c r="H18" s="53">
        <v>7</v>
      </c>
      <c r="I18" s="53">
        <v>7</v>
      </c>
      <c r="J18" s="53">
        <v>7</v>
      </c>
      <c r="K18" s="53">
        <v>6</v>
      </c>
      <c r="L18" s="53">
        <v>7</v>
      </c>
      <c r="M18" s="53">
        <v>5</v>
      </c>
      <c r="N18" s="53">
        <v>5</v>
      </c>
      <c r="O18" s="53">
        <v>6</v>
      </c>
      <c r="P18" s="62">
        <f>SUM(B18:O18)</f>
        <v>81</v>
      </c>
      <c r="Q18" s="39" t="s">
        <v>223</v>
      </c>
      <c r="R18" s="18"/>
      <c r="S18" s="18"/>
      <c r="T18" s="18"/>
      <c r="U18" s="18"/>
      <c r="V18" s="18"/>
      <c r="W18" s="18"/>
      <c r="X18" s="18"/>
      <c r="Y18" s="18"/>
      <c r="Z18" s="18"/>
      <c r="AA18" s="18"/>
      <c r="AB18" s="18"/>
      <c r="AC18" s="18"/>
      <c r="AD18" s="18"/>
      <c r="AE18" s="18"/>
      <c r="AF18" s="18"/>
    </row>
    <row r="19" spans="1:32" ht="24" x14ac:dyDescent="0.15">
      <c r="A19" s="34" t="s">
        <v>245</v>
      </c>
      <c r="B19" s="53">
        <v>7</v>
      </c>
      <c r="C19" s="53">
        <v>1</v>
      </c>
      <c r="D19" s="53">
        <v>4</v>
      </c>
      <c r="E19" s="53">
        <v>5</v>
      </c>
      <c r="F19" s="53">
        <v>5</v>
      </c>
      <c r="G19" s="53">
        <v>5</v>
      </c>
      <c r="H19" s="53">
        <v>7</v>
      </c>
      <c r="I19" s="53">
        <v>7</v>
      </c>
      <c r="J19" s="53">
        <v>7</v>
      </c>
      <c r="K19" s="53">
        <v>6</v>
      </c>
      <c r="L19" s="53">
        <v>5</v>
      </c>
      <c r="M19" s="53">
        <v>5</v>
      </c>
      <c r="N19" s="53">
        <v>6</v>
      </c>
      <c r="O19" s="53">
        <v>7</v>
      </c>
      <c r="P19" s="62">
        <f>SUM(B19:O19)</f>
        <v>77</v>
      </c>
      <c r="Q19" s="39" t="s">
        <v>223</v>
      </c>
      <c r="R19" s="18"/>
      <c r="S19" s="18"/>
      <c r="T19" s="18"/>
      <c r="U19" s="18"/>
      <c r="V19" s="18"/>
      <c r="W19" s="18"/>
      <c r="X19" s="18"/>
      <c r="Y19" s="18"/>
      <c r="Z19" s="18"/>
      <c r="AA19" s="18"/>
      <c r="AB19" s="18"/>
      <c r="AC19" s="18"/>
      <c r="AD19" s="18"/>
      <c r="AE19" s="18"/>
      <c r="AF19" s="18"/>
    </row>
    <row r="20" spans="1:32" x14ac:dyDescent="0.15">
      <c r="A20" s="34" t="s">
        <v>246</v>
      </c>
      <c r="B20" s="53"/>
      <c r="C20" s="53"/>
      <c r="D20" s="53"/>
      <c r="E20" s="53"/>
      <c r="F20" s="53"/>
      <c r="G20" s="53"/>
      <c r="H20" s="53"/>
      <c r="I20" s="53"/>
      <c r="J20" s="53"/>
      <c r="K20" s="53"/>
      <c r="L20" s="53"/>
      <c r="M20" s="53"/>
      <c r="N20" s="53"/>
      <c r="O20" s="53"/>
      <c r="P20" s="62"/>
      <c r="Q20" s="39" t="s">
        <v>223</v>
      </c>
      <c r="R20" s="18"/>
      <c r="S20" s="18"/>
      <c r="T20" s="18"/>
      <c r="U20" s="18"/>
      <c r="V20" s="18"/>
      <c r="W20" s="18"/>
      <c r="X20" s="18"/>
      <c r="Y20" s="18"/>
      <c r="Z20" s="18"/>
      <c r="AA20" s="18"/>
      <c r="AB20" s="18"/>
      <c r="AC20" s="18"/>
      <c r="AD20" s="18"/>
      <c r="AE20" s="18"/>
      <c r="AF20" s="18"/>
    </row>
    <row r="21" spans="1:32" x14ac:dyDescent="0.15">
      <c r="A21" s="34" t="s">
        <v>247</v>
      </c>
      <c r="B21" s="53"/>
      <c r="C21" s="53"/>
      <c r="D21" s="53"/>
      <c r="E21" s="53"/>
      <c r="F21" s="53"/>
      <c r="G21" s="53"/>
      <c r="H21" s="53"/>
      <c r="I21" s="53"/>
      <c r="J21" s="53"/>
      <c r="K21" s="53"/>
      <c r="L21" s="53"/>
      <c r="M21" s="53"/>
      <c r="N21" s="53"/>
      <c r="O21" s="53"/>
      <c r="P21" s="62"/>
      <c r="Q21" s="39" t="s">
        <v>223</v>
      </c>
      <c r="R21" s="18"/>
      <c r="S21" s="18"/>
      <c r="T21" s="18"/>
      <c r="U21" s="18"/>
      <c r="V21" s="18"/>
      <c r="W21" s="18"/>
      <c r="X21" s="18"/>
      <c r="Y21" s="18"/>
      <c r="Z21" s="18"/>
      <c r="AA21" s="18"/>
      <c r="AB21" s="18"/>
      <c r="AC21" s="18"/>
      <c r="AD21" s="18"/>
      <c r="AE21" s="18"/>
      <c r="AF21" s="18"/>
    </row>
    <row r="22" spans="1:32" ht="24" x14ac:dyDescent="0.15">
      <c r="A22" s="26" t="s">
        <v>248</v>
      </c>
      <c r="B22" s="53"/>
      <c r="C22" s="53"/>
      <c r="D22" s="53"/>
      <c r="E22" s="53"/>
      <c r="F22" s="53"/>
      <c r="G22" s="53"/>
      <c r="H22" s="53"/>
      <c r="I22" s="53"/>
      <c r="J22" s="53"/>
      <c r="K22" s="53"/>
      <c r="L22" s="53"/>
      <c r="M22" s="53"/>
      <c r="N22" s="53"/>
      <c r="O22" s="53"/>
      <c r="P22" s="62"/>
      <c r="Q22" s="39" t="s">
        <v>223</v>
      </c>
      <c r="R22" s="18"/>
      <c r="S22" s="18"/>
      <c r="T22" s="18"/>
      <c r="U22" s="18"/>
      <c r="V22" s="18"/>
      <c r="W22" s="18"/>
      <c r="X22" s="18"/>
      <c r="Y22" s="18"/>
      <c r="Z22" s="18"/>
      <c r="AA22" s="18"/>
      <c r="AB22" s="18"/>
      <c r="AC22" s="18"/>
      <c r="AD22" s="18"/>
      <c r="AE22" s="18"/>
      <c r="AF22" s="18"/>
    </row>
    <row r="23" spans="1:32" ht="46.5" x14ac:dyDescent="0.15">
      <c r="A23" s="34" t="s">
        <v>249</v>
      </c>
      <c r="B23" s="53">
        <v>6</v>
      </c>
      <c r="C23" s="53">
        <v>6</v>
      </c>
      <c r="D23" s="53">
        <v>6</v>
      </c>
      <c r="E23" s="53">
        <v>7</v>
      </c>
      <c r="F23" s="53">
        <v>5</v>
      </c>
      <c r="G23" s="53">
        <v>4</v>
      </c>
      <c r="H23" s="53">
        <v>7</v>
      </c>
      <c r="I23" s="53">
        <v>7</v>
      </c>
      <c r="J23" s="53">
        <v>7</v>
      </c>
      <c r="K23" s="53">
        <v>6</v>
      </c>
      <c r="L23" s="53">
        <v>1</v>
      </c>
      <c r="M23" s="53">
        <v>3</v>
      </c>
      <c r="N23" s="53">
        <v>7</v>
      </c>
      <c r="O23" s="53">
        <v>5</v>
      </c>
      <c r="P23" s="62">
        <f t="shared" ref="P23:P28" si="1">SUM(B23:O23)</f>
        <v>77</v>
      </c>
      <c r="Q23" s="39" t="s">
        <v>223</v>
      </c>
      <c r="R23" s="18"/>
      <c r="S23" s="18"/>
      <c r="T23" s="18"/>
      <c r="U23" s="18"/>
      <c r="V23" s="18"/>
      <c r="W23" s="18"/>
      <c r="X23" s="18"/>
      <c r="Y23" s="18"/>
      <c r="Z23" s="18"/>
      <c r="AA23" s="18"/>
      <c r="AB23" s="18"/>
      <c r="AC23" s="18"/>
      <c r="AD23" s="18"/>
      <c r="AE23" s="18"/>
      <c r="AF23" s="18"/>
    </row>
    <row r="24" spans="1:32" ht="61.5" customHeight="1" x14ac:dyDescent="0.15">
      <c r="A24" s="34" t="s">
        <v>250</v>
      </c>
      <c r="B24" s="53">
        <v>2</v>
      </c>
      <c r="C24" s="53">
        <v>5</v>
      </c>
      <c r="D24" s="53">
        <v>7</v>
      </c>
      <c r="E24" s="53">
        <v>7</v>
      </c>
      <c r="F24" s="53">
        <v>3</v>
      </c>
      <c r="G24" s="53">
        <v>5</v>
      </c>
      <c r="H24" s="53">
        <v>6</v>
      </c>
      <c r="I24" s="53">
        <v>6</v>
      </c>
      <c r="J24" s="53">
        <v>7</v>
      </c>
      <c r="K24" s="53">
        <v>7</v>
      </c>
      <c r="L24" s="53">
        <v>2</v>
      </c>
      <c r="M24" s="53">
        <v>5</v>
      </c>
      <c r="N24" s="53">
        <v>6</v>
      </c>
      <c r="O24" s="53">
        <v>6</v>
      </c>
      <c r="P24" s="62">
        <f t="shared" si="1"/>
        <v>74</v>
      </c>
      <c r="Q24" s="39" t="s">
        <v>223</v>
      </c>
      <c r="R24" s="18"/>
      <c r="S24" s="18"/>
      <c r="T24" s="18"/>
      <c r="U24" s="18"/>
      <c r="V24" s="18"/>
      <c r="W24" s="18"/>
      <c r="X24" s="18"/>
      <c r="Y24" s="18"/>
      <c r="Z24" s="18"/>
      <c r="AA24" s="18"/>
      <c r="AB24" s="18"/>
      <c r="AC24" s="18"/>
      <c r="AD24" s="18"/>
      <c r="AE24" s="18"/>
      <c r="AF24" s="18"/>
    </row>
    <row r="25" spans="1:32" ht="43.5" customHeight="1" x14ac:dyDescent="0.15">
      <c r="A25" s="34" t="s">
        <v>251</v>
      </c>
      <c r="B25" s="53">
        <v>6</v>
      </c>
      <c r="C25" s="53">
        <v>3</v>
      </c>
      <c r="D25" s="53">
        <v>4</v>
      </c>
      <c r="E25" s="53">
        <v>5</v>
      </c>
      <c r="F25" s="53">
        <v>5</v>
      </c>
      <c r="G25" s="53">
        <v>5</v>
      </c>
      <c r="H25" s="53">
        <v>6</v>
      </c>
      <c r="I25" s="53">
        <v>5</v>
      </c>
      <c r="J25" s="53">
        <v>7</v>
      </c>
      <c r="K25" s="53">
        <v>7</v>
      </c>
      <c r="L25" s="53">
        <v>4</v>
      </c>
      <c r="M25" s="53">
        <v>4</v>
      </c>
      <c r="N25" s="53">
        <v>4</v>
      </c>
      <c r="O25" s="53">
        <v>5</v>
      </c>
      <c r="P25" s="62">
        <f t="shared" si="1"/>
        <v>70</v>
      </c>
      <c r="Q25" s="39" t="s">
        <v>223</v>
      </c>
      <c r="R25" s="18"/>
      <c r="S25" s="18"/>
      <c r="T25" s="18"/>
      <c r="U25" s="18"/>
      <c r="V25" s="18"/>
      <c r="W25" s="18"/>
      <c r="X25" s="18"/>
      <c r="Y25" s="18"/>
      <c r="Z25" s="18"/>
      <c r="AA25" s="18"/>
      <c r="AB25" s="18"/>
      <c r="AC25" s="18"/>
      <c r="AD25" s="18"/>
      <c r="AE25" s="18"/>
      <c r="AF25" s="18"/>
    </row>
    <row r="26" spans="1:32" ht="35.25" x14ac:dyDescent="0.15">
      <c r="A26" s="34" t="s">
        <v>252</v>
      </c>
      <c r="B26" s="53">
        <v>3</v>
      </c>
      <c r="C26" s="53">
        <v>5</v>
      </c>
      <c r="D26" s="53">
        <v>3</v>
      </c>
      <c r="E26" s="53">
        <v>6</v>
      </c>
      <c r="F26" s="53">
        <v>2</v>
      </c>
      <c r="G26" s="53">
        <v>5</v>
      </c>
      <c r="H26" s="53">
        <v>5</v>
      </c>
      <c r="I26" s="53">
        <v>6</v>
      </c>
      <c r="J26" s="53">
        <v>7</v>
      </c>
      <c r="K26" s="53">
        <v>7</v>
      </c>
      <c r="L26" s="53">
        <v>5</v>
      </c>
      <c r="M26" s="53">
        <v>3</v>
      </c>
      <c r="N26" s="53">
        <v>6</v>
      </c>
      <c r="O26" s="53">
        <v>5</v>
      </c>
      <c r="P26" s="62">
        <f t="shared" si="1"/>
        <v>68</v>
      </c>
      <c r="Q26" s="39" t="s">
        <v>223</v>
      </c>
      <c r="R26" s="18"/>
      <c r="S26" s="18"/>
      <c r="T26" s="18"/>
      <c r="U26" s="18"/>
      <c r="V26" s="18"/>
      <c r="W26" s="18"/>
      <c r="X26" s="18"/>
      <c r="Y26" s="18"/>
      <c r="Z26" s="18"/>
      <c r="AA26" s="18"/>
      <c r="AB26" s="18"/>
      <c r="AC26" s="18"/>
      <c r="AD26" s="18"/>
      <c r="AE26" s="18"/>
      <c r="AF26" s="18"/>
    </row>
    <row r="27" spans="1:32" ht="24" x14ac:dyDescent="0.15">
      <c r="A27" s="34" t="s">
        <v>253</v>
      </c>
      <c r="B27" s="53">
        <v>7</v>
      </c>
      <c r="C27" s="53">
        <v>4</v>
      </c>
      <c r="D27" s="53">
        <v>1</v>
      </c>
      <c r="E27" s="53">
        <v>1</v>
      </c>
      <c r="F27" s="53">
        <v>5</v>
      </c>
      <c r="G27" s="53">
        <v>7</v>
      </c>
      <c r="H27" s="53">
        <v>6</v>
      </c>
      <c r="I27" s="53">
        <v>4</v>
      </c>
      <c r="J27" s="53">
        <v>7</v>
      </c>
      <c r="K27" s="53">
        <v>6</v>
      </c>
      <c r="L27" s="53">
        <v>5</v>
      </c>
      <c r="M27" s="53">
        <v>5</v>
      </c>
      <c r="N27" s="53">
        <v>2</v>
      </c>
      <c r="O27" s="53">
        <v>5</v>
      </c>
      <c r="P27" s="62">
        <f t="shared" si="1"/>
        <v>65</v>
      </c>
      <c r="Q27" s="39" t="s">
        <v>223</v>
      </c>
      <c r="R27" s="18"/>
      <c r="S27" s="18"/>
      <c r="T27" s="18"/>
      <c r="U27" s="18"/>
      <c r="V27" s="18"/>
      <c r="W27" s="18"/>
      <c r="X27" s="18"/>
      <c r="Y27" s="18"/>
      <c r="Z27" s="18"/>
      <c r="AA27" s="18"/>
      <c r="AB27" s="18"/>
      <c r="AC27" s="18"/>
      <c r="AD27" s="18"/>
      <c r="AE27" s="18"/>
      <c r="AF27" s="18"/>
    </row>
    <row r="28" spans="1:32" ht="24" x14ac:dyDescent="0.15">
      <c r="A28" s="34" t="s">
        <v>255</v>
      </c>
      <c r="B28" s="53">
        <v>2</v>
      </c>
      <c r="C28" s="53">
        <v>5</v>
      </c>
      <c r="D28" s="53">
        <v>1</v>
      </c>
      <c r="E28" s="53">
        <v>5</v>
      </c>
      <c r="F28" s="53">
        <v>3</v>
      </c>
      <c r="G28" s="53">
        <v>5</v>
      </c>
      <c r="H28" s="53">
        <v>6</v>
      </c>
      <c r="I28" s="53">
        <v>6</v>
      </c>
      <c r="J28" s="53">
        <v>7</v>
      </c>
      <c r="K28" s="53">
        <v>7</v>
      </c>
      <c r="L28" s="53">
        <v>1</v>
      </c>
      <c r="M28" s="53">
        <v>5</v>
      </c>
      <c r="N28" s="53">
        <v>4</v>
      </c>
      <c r="O28" s="53">
        <v>6</v>
      </c>
      <c r="P28" s="62">
        <f t="shared" si="1"/>
        <v>63</v>
      </c>
      <c r="Q28" s="39" t="s">
        <v>223</v>
      </c>
      <c r="R28" s="18"/>
      <c r="S28" s="18"/>
      <c r="T28" s="18"/>
      <c r="U28" s="18"/>
      <c r="V28" s="18"/>
      <c r="W28" s="18"/>
      <c r="X28" s="18"/>
      <c r="Y28" s="18"/>
      <c r="Z28" s="18"/>
      <c r="AA28" s="18"/>
      <c r="AB28" s="18"/>
      <c r="AC28" s="18"/>
      <c r="AD28" s="18"/>
      <c r="AE28" s="18"/>
      <c r="AF28" s="18"/>
    </row>
  </sheetData>
  <autoFilter ref="Q1:Q28" xr:uid="{7FF520FD-9624-AC42-BD55-F87BD94F79A9}"/>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27FC-9FA8-8442-9E20-25297C53A043}">
  <dimension ref="A1:AF28"/>
  <sheetViews>
    <sheetView workbookViewId="0">
      <pane xSplit="1" topLeftCell="P1" activePane="topRight" state="frozen"/>
      <selection pane="topRight" activeCell="R4" sqref="R4"/>
    </sheetView>
  </sheetViews>
  <sheetFormatPr defaultColWidth="11.4609375" defaultRowHeight="12.75" x14ac:dyDescent="0.15"/>
  <cols>
    <col min="1" max="1" width="50.83984375" style="32" customWidth="1"/>
    <col min="2" max="15" width="0" hidden="1" customWidth="1"/>
    <col min="16" max="16" width="19.6875" bestFit="1" customWidth="1"/>
    <col min="17" max="17" width="16.71875" bestFit="1" customWidth="1"/>
  </cols>
  <sheetData>
    <row r="1" spans="1:32" ht="13.5" x14ac:dyDescent="0.15">
      <c r="A1" s="33"/>
      <c r="B1" s="18"/>
      <c r="C1" s="18"/>
      <c r="D1" s="18"/>
      <c r="E1" s="18"/>
      <c r="F1" s="18"/>
      <c r="G1" s="18"/>
      <c r="H1" s="18"/>
      <c r="I1" s="18"/>
      <c r="J1" s="18"/>
      <c r="K1" s="18"/>
      <c r="L1" s="18"/>
      <c r="M1" s="18"/>
      <c r="N1" s="18"/>
      <c r="O1" s="18"/>
      <c r="P1" s="50" t="s">
        <v>224</v>
      </c>
      <c r="Q1" s="50" t="s">
        <v>225</v>
      </c>
      <c r="R1" s="60">
        <v>45658</v>
      </c>
      <c r="S1" s="60">
        <v>46023</v>
      </c>
      <c r="T1" s="60">
        <v>46388</v>
      </c>
      <c r="U1" s="60">
        <v>46753</v>
      </c>
      <c r="V1" s="60">
        <v>47119</v>
      </c>
      <c r="W1" s="60">
        <v>47484</v>
      </c>
      <c r="X1" s="60">
        <v>47849</v>
      </c>
      <c r="Y1" s="60">
        <v>48214</v>
      </c>
      <c r="Z1" s="60">
        <v>48580</v>
      </c>
      <c r="AA1" s="60">
        <v>48945</v>
      </c>
      <c r="AB1" s="60">
        <v>49310</v>
      </c>
      <c r="AC1" s="60">
        <v>49675</v>
      </c>
      <c r="AD1" s="60">
        <v>50041</v>
      </c>
      <c r="AE1" s="60">
        <v>50406</v>
      </c>
      <c r="AF1" s="60">
        <v>50771</v>
      </c>
    </row>
    <row r="2" spans="1:32" ht="37.5" x14ac:dyDescent="0.15">
      <c r="A2" s="34" t="s">
        <v>230</v>
      </c>
      <c r="B2" s="53">
        <v>7</v>
      </c>
      <c r="C2" s="53">
        <v>6</v>
      </c>
      <c r="D2" s="53">
        <v>7</v>
      </c>
      <c r="E2" s="53">
        <v>7</v>
      </c>
      <c r="F2" s="53">
        <v>5</v>
      </c>
      <c r="G2" s="53">
        <v>7</v>
      </c>
      <c r="H2" s="53">
        <v>7</v>
      </c>
      <c r="I2" s="53">
        <v>7</v>
      </c>
      <c r="J2" s="53">
        <v>7</v>
      </c>
      <c r="K2" s="53">
        <v>7</v>
      </c>
      <c r="L2" s="53">
        <v>5</v>
      </c>
      <c r="M2" s="53">
        <v>6</v>
      </c>
      <c r="N2" s="53">
        <v>6</v>
      </c>
      <c r="O2" s="53">
        <v>6</v>
      </c>
      <c r="P2" s="62">
        <f t="shared" ref="P2:P12" si="0">SUM(B2:O2)</f>
        <v>90</v>
      </c>
      <c r="Q2" s="39" t="s">
        <v>222</v>
      </c>
      <c r="R2" s="18"/>
      <c r="S2" s="18"/>
      <c r="T2" s="18"/>
      <c r="U2" s="18"/>
      <c r="V2" s="18"/>
      <c r="W2" s="18"/>
      <c r="X2" s="18"/>
      <c r="Y2" s="18"/>
      <c r="Z2" s="18"/>
      <c r="AA2" s="18"/>
      <c r="AB2" s="18"/>
      <c r="AC2" s="18"/>
      <c r="AD2" s="18"/>
      <c r="AE2" s="18"/>
      <c r="AF2" s="18"/>
    </row>
    <row r="3" spans="1:32" ht="48.75" x14ac:dyDescent="0.15">
      <c r="A3" s="34" t="s">
        <v>229</v>
      </c>
      <c r="B3" s="53">
        <v>7</v>
      </c>
      <c r="C3" s="53">
        <v>6</v>
      </c>
      <c r="D3" s="53">
        <v>7</v>
      </c>
      <c r="E3" s="53">
        <v>7</v>
      </c>
      <c r="F3" s="53">
        <v>5</v>
      </c>
      <c r="G3" s="53">
        <v>7</v>
      </c>
      <c r="H3" s="53">
        <v>7</v>
      </c>
      <c r="I3" s="53">
        <v>7</v>
      </c>
      <c r="J3" s="53">
        <v>7</v>
      </c>
      <c r="K3" s="53">
        <v>7</v>
      </c>
      <c r="L3" s="53">
        <v>5</v>
      </c>
      <c r="M3" s="53">
        <v>6</v>
      </c>
      <c r="N3" s="53">
        <v>6</v>
      </c>
      <c r="O3" s="53">
        <v>6</v>
      </c>
      <c r="P3" s="62">
        <f t="shared" si="0"/>
        <v>90</v>
      </c>
      <c r="Q3" s="39" t="s">
        <v>222</v>
      </c>
      <c r="R3" s="18"/>
      <c r="S3" s="18"/>
      <c r="T3" s="18"/>
      <c r="U3" s="18"/>
      <c r="V3" s="18"/>
      <c r="W3" s="18"/>
      <c r="X3" s="18"/>
      <c r="Y3" s="18"/>
      <c r="Z3" s="18"/>
      <c r="AA3" s="18"/>
      <c r="AB3" s="18"/>
      <c r="AC3" s="18"/>
      <c r="AD3" s="18"/>
      <c r="AE3" s="18"/>
      <c r="AF3" s="18"/>
    </row>
    <row r="4" spans="1:32" ht="35.25" x14ac:dyDescent="0.15">
      <c r="A4" s="34" t="s">
        <v>233</v>
      </c>
      <c r="B4" s="53">
        <v>5</v>
      </c>
      <c r="C4" s="53">
        <v>5</v>
      </c>
      <c r="D4" s="53">
        <v>7</v>
      </c>
      <c r="E4" s="53">
        <v>6</v>
      </c>
      <c r="F4" s="53">
        <v>6</v>
      </c>
      <c r="G4" s="53">
        <v>5</v>
      </c>
      <c r="H4" s="53">
        <v>7</v>
      </c>
      <c r="I4" s="53">
        <v>6</v>
      </c>
      <c r="J4" s="53">
        <v>7</v>
      </c>
      <c r="K4" s="53">
        <v>6</v>
      </c>
      <c r="L4" s="53">
        <v>7</v>
      </c>
      <c r="M4" s="53">
        <v>6</v>
      </c>
      <c r="N4" s="53">
        <v>6</v>
      </c>
      <c r="O4" s="53">
        <v>6</v>
      </c>
      <c r="P4" s="62">
        <f t="shared" si="0"/>
        <v>85</v>
      </c>
      <c r="Q4" s="39" t="s">
        <v>222</v>
      </c>
      <c r="R4" s="18"/>
      <c r="S4" s="18"/>
      <c r="T4" s="18"/>
      <c r="U4" s="18"/>
      <c r="V4" s="18"/>
      <c r="W4" s="18"/>
      <c r="X4" s="18"/>
      <c r="Y4" s="18"/>
      <c r="Z4" s="18"/>
      <c r="AA4" s="18"/>
      <c r="AB4" s="18"/>
      <c r="AC4" s="18"/>
      <c r="AD4" s="18"/>
      <c r="AE4" s="18"/>
      <c r="AF4" s="18"/>
    </row>
    <row r="5" spans="1:32" ht="24" x14ac:dyDescent="0.15">
      <c r="A5" s="34" t="s">
        <v>234</v>
      </c>
      <c r="B5" s="53">
        <v>6</v>
      </c>
      <c r="C5" s="53">
        <v>5</v>
      </c>
      <c r="D5" s="53">
        <v>7</v>
      </c>
      <c r="E5" s="53">
        <v>7</v>
      </c>
      <c r="F5" s="53">
        <v>5</v>
      </c>
      <c r="G5" s="53">
        <v>7</v>
      </c>
      <c r="H5" s="53">
        <v>7</v>
      </c>
      <c r="I5" s="53">
        <v>5</v>
      </c>
      <c r="J5" s="53">
        <v>7</v>
      </c>
      <c r="K5" s="53">
        <v>6</v>
      </c>
      <c r="L5" s="53">
        <v>5</v>
      </c>
      <c r="M5" s="53">
        <v>6</v>
      </c>
      <c r="N5" s="53">
        <v>6</v>
      </c>
      <c r="O5" s="53">
        <v>6</v>
      </c>
      <c r="P5" s="62">
        <f t="shared" si="0"/>
        <v>85</v>
      </c>
      <c r="Q5" s="39" t="s">
        <v>222</v>
      </c>
      <c r="R5" s="18"/>
      <c r="S5" s="18"/>
      <c r="T5" s="18"/>
      <c r="U5" s="18"/>
      <c r="V5" s="18"/>
      <c r="W5" s="18"/>
      <c r="X5" s="18"/>
      <c r="Y5" s="18"/>
      <c r="Z5" s="18"/>
      <c r="AA5" s="18"/>
      <c r="AB5" s="18"/>
      <c r="AC5" s="18"/>
      <c r="AD5" s="18"/>
      <c r="AE5" s="18"/>
      <c r="AF5" s="18"/>
    </row>
    <row r="6" spans="1:32" ht="115.5" x14ac:dyDescent="0.15">
      <c r="A6" s="34" t="s">
        <v>261</v>
      </c>
      <c r="B6" s="53">
        <v>7</v>
      </c>
      <c r="C6" s="53">
        <v>6</v>
      </c>
      <c r="D6" s="53">
        <v>7</v>
      </c>
      <c r="E6" s="53">
        <v>7</v>
      </c>
      <c r="F6" s="53">
        <v>2</v>
      </c>
      <c r="G6" s="53">
        <v>5</v>
      </c>
      <c r="H6" s="53">
        <v>7</v>
      </c>
      <c r="I6" s="53">
        <v>5</v>
      </c>
      <c r="J6" s="53">
        <v>7</v>
      </c>
      <c r="K6" s="53">
        <v>7</v>
      </c>
      <c r="L6" s="53">
        <v>6</v>
      </c>
      <c r="M6" s="53">
        <v>5</v>
      </c>
      <c r="N6" s="53">
        <v>7</v>
      </c>
      <c r="O6" s="53">
        <v>5</v>
      </c>
      <c r="P6" s="39">
        <f t="shared" si="0"/>
        <v>83</v>
      </c>
      <c r="Q6" s="39" t="s">
        <v>222</v>
      </c>
      <c r="R6" s="18"/>
      <c r="S6" s="18"/>
      <c r="T6" s="18"/>
      <c r="U6" s="18"/>
      <c r="V6" s="18"/>
      <c r="W6" s="18"/>
      <c r="X6" s="18"/>
      <c r="Y6" s="18"/>
      <c r="Z6" s="18"/>
      <c r="AA6" s="18"/>
      <c r="AB6" s="18"/>
      <c r="AC6" s="18"/>
      <c r="AD6" s="18"/>
      <c r="AE6" s="18"/>
      <c r="AF6" s="18"/>
    </row>
    <row r="7" spans="1:32" ht="24" x14ac:dyDescent="0.15">
      <c r="A7" s="34" t="s">
        <v>236</v>
      </c>
      <c r="B7" s="53">
        <v>3</v>
      </c>
      <c r="C7" s="53">
        <v>5</v>
      </c>
      <c r="D7" s="53">
        <v>7</v>
      </c>
      <c r="E7" s="53">
        <v>7</v>
      </c>
      <c r="F7" s="53">
        <v>5</v>
      </c>
      <c r="G7" s="53">
        <v>5</v>
      </c>
      <c r="H7" s="53">
        <v>7</v>
      </c>
      <c r="I7" s="53">
        <v>6</v>
      </c>
      <c r="J7" s="53">
        <v>7</v>
      </c>
      <c r="K7" s="53">
        <v>6</v>
      </c>
      <c r="L7" s="53">
        <v>5</v>
      </c>
      <c r="M7" s="53">
        <v>6</v>
      </c>
      <c r="N7" s="53">
        <v>6</v>
      </c>
      <c r="O7" s="53">
        <v>6</v>
      </c>
      <c r="P7" s="62">
        <f t="shared" si="0"/>
        <v>81</v>
      </c>
      <c r="Q7" s="39" t="s">
        <v>222</v>
      </c>
      <c r="R7" s="18"/>
      <c r="S7" s="18"/>
      <c r="T7" s="18"/>
      <c r="U7" s="18"/>
      <c r="V7" s="18"/>
      <c r="W7" s="18"/>
      <c r="X7" s="18"/>
      <c r="Y7" s="18"/>
      <c r="Z7" s="18"/>
      <c r="AA7" s="18"/>
      <c r="AB7" s="18"/>
      <c r="AC7" s="18"/>
      <c r="AD7" s="18"/>
      <c r="AE7" s="18"/>
      <c r="AF7" s="18"/>
    </row>
    <row r="8" spans="1:32" x14ac:dyDescent="0.15">
      <c r="A8" s="34" t="s">
        <v>237</v>
      </c>
      <c r="B8" s="53">
        <v>5</v>
      </c>
      <c r="C8" s="53">
        <v>7</v>
      </c>
      <c r="D8" s="53">
        <v>7</v>
      </c>
      <c r="E8" s="53">
        <v>5</v>
      </c>
      <c r="F8" s="53">
        <v>6</v>
      </c>
      <c r="G8" s="53">
        <v>4</v>
      </c>
      <c r="H8" s="53">
        <v>7</v>
      </c>
      <c r="I8" s="53">
        <v>6</v>
      </c>
      <c r="J8" s="53">
        <v>7</v>
      </c>
      <c r="K8" s="53">
        <v>7</v>
      </c>
      <c r="L8" s="53">
        <v>1</v>
      </c>
      <c r="M8" s="53">
        <v>6</v>
      </c>
      <c r="N8" s="53">
        <v>6</v>
      </c>
      <c r="O8" s="53">
        <v>6</v>
      </c>
      <c r="P8" s="62">
        <f t="shared" si="0"/>
        <v>80</v>
      </c>
      <c r="Q8" s="39" t="s">
        <v>222</v>
      </c>
      <c r="R8" s="18"/>
      <c r="S8" s="18"/>
      <c r="T8" s="18"/>
      <c r="U8" s="18"/>
      <c r="V8" s="18"/>
      <c r="W8" s="18"/>
      <c r="X8" s="18"/>
      <c r="Y8" s="18"/>
      <c r="Z8" s="18"/>
      <c r="AA8" s="18"/>
      <c r="AB8" s="18"/>
      <c r="AC8" s="18"/>
      <c r="AD8" s="18"/>
      <c r="AE8" s="18"/>
      <c r="AF8" s="18"/>
    </row>
    <row r="9" spans="1:32" ht="24" x14ac:dyDescent="0.15">
      <c r="A9" s="34" t="s">
        <v>201</v>
      </c>
      <c r="B9" s="53">
        <v>6</v>
      </c>
      <c r="C9" s="53">
        <v>3</v>
      </c>
      <c r="D9" s="53">
        <v>5</v>
      </c>
      <c r="E9" s="53">
        <v>7</v>
      </c>
      <c r="F9" s="53">
        <v>5</v>
      </c>
      <c r="G9" s="53">
        <v>4</v>
      </c>
      <c r="H9" s="53">
        <v>7</v>
      </c>
      <c r="I9" s="53">
        <v>7</v>
      </c>
      <c r="J9" s="53">
        <v>7</v>
      </c>
      <c r="K9" s="53">
        <v>6</v>
      </c>
      <c r="L9" s="53">
        <v>7</v>
      </c>
      <c r="M9" s="53">
        <v>5</v>
      </c>
      <c r="N9" s="53">
        <v>6</v>
      </c>
      <c r="O9" s="53">
        <v>4</v>
      </c>
      <c r="P9" s="62">
        <f t="shared" si="0"/>
        <v>79</v>
      </c>
      <c r="Q9" s="39" t="s">
        <v>222</v>
      </c>
      <c r="R9" s="18"/>
      <c r="S9" s="18"/>
      <c r="T9" s="18"/>
      <c r="U9" s="18"/>
      <c r="V9" s="18"/>
      <c r="W9" s="18"/>
      <c r="X9" s="18"/>
      <c r="Y9" s="18"/>
      <c r="Z9" s="18"/>
      <c r="AA9" s="18"/>
      <c r="AB9" s="18"/>
      <c r="AC9" s="18"/>
      <c r="AD9" s="18"/>
      <c r="AE9" s="18"/>
      <c r="AF9" s="18"/>
    </row>
    <row r="10" spans="1:32" ht="35.25" x14ac:dyDescent="0.15">
      <c r="A10" s="34" t="s">
        <v>239</v>
      </c>
      <c r="B10" s="53">
        <v>1</v>
      </c>
      <c r="C10" s="53">
        <v>5</v>
      </c>
      <c r="D10" s="53">
        <v>7</v>
      </c>
      <c r="E10" s="53">
        <v>5</v>
      </c>
      <c r="F10" s="53">
        <v>4</v>
      </c>
      <c r="G10" s="53">
        <v>5</v>
      </c>
      <c r="H10" s="53">
        <v>6</v>
      </c>
      <c r="I10" s="53">
        <v>5</v>
      </c>
      <c r="J10" s="53">
        <v>7</v>
      </c>
      <c r="K10" s="53">
        <v>7</v>
      </c>
      <c r="L10" s="53">
        <v>1</v>
      </c>
      <c r="M10" s="53">
        <v>5</v>
      </c>
      <c r="N10" s="53">
        <v>3</v>
      </c>
      <c r="O10" s="53">
        <v>6</v>
      </c>
      <c r="P10" s="62">
        <f t="shared" si="0"/>
        <v>67</v>
      </c>
      <c r="Q10" s="39" t="s">
        <v>222</v>
      </c>
      <c r="R10" s="18"/>
      <c r="S10" s="18"/>
      <c r="T10" s="18"/>
      <c r="U10" s="18"/>
      <c r="V10" s="18"/>
      <c r="W10" s="18"/>
      <c r="X10" s="18"/>
      <c r="Y10" s="18"/>
      <c r="Z10" s="18"/>
      <c r="AA10" s="18"/>
      <c r="AB10" s="18"/>
      <c r="AC10" s="18"/>
      <c r="AD10" s="18"/>
      <c r="AE10" s="18"/>
      <c r="AF10" s="18"/>
    </row>
    <row r="11" spans="1:32" ht="35.25" x14ac:dyDescent="0.15">
      <c r="A11" s="34" t="s">
        <v>254</v>
      </c>
      <c r="B11" s="53">
        <v>7</v>
      </c>
      <c r="C11" s="53">
        <v>1</v>
      </c>
      <c r="D11" s="53">
        <v>6</v>
      </c>
      <c r="E11" s="53">
        <v>5</v>
      </c>
      <c r="F11" s="53">
        <v>5</v>
      </c>
      <c r="G11" s="53">
        <v>3</v>
      </c>
      <c r="H11" s="53">
        <v>6</v>
      </c>
      <c r="I11" s="53">
        <v>7</v>
      </c>
      <c r="J11" s="53">
        <v>4</v>
      </c>
      <c r="K11" s="53">
        <v>2</v>
      </c>
      <c r="L11" s="53">
        <v>7</v>
      </c>
      <c r="M11" s="53">
        <v>6</v>
      </c>
      <c r="N11" s="53">
        <v>3</v>
      </c>
      <c r="O11" s="53">
        <v>3</v>
      </c>
      <c r="P11" s="62">
        <f t="shared" si="0"/>
        <v>65</v>
      </c>
      <c r="Q11" s="39" t="s">
        <v>222</v>
      </c>
      <c r="R11" s="18"/>
      <c r="S11" s="18"/>
      <c r="T11" s="18"/>
      <c r="U11" s="18"/>
      <c r="V11" s="18"/>
      <c r="W11" s="18"/>
      <c r="X11" s="18"/>
      <c r="Y11" s="18"/>
      <c r="Z11" s="18"/>
      <c r="AA11" s="18"/>
      <c r="AB11" s="18"/>
      <c r="AC11" s="18"/>
      <c r="AD11" s="18"/>
      <c r="AE11" s="18"/>
      <c r="AF11" s="18"/>
    </row>
    <row r="12" spans="1:32" ht="24" x14ac:dyDescent="0.15">
      <c r="A12" s="34" t="s">
        <v>240</v>
      </c>
      <c r="B12" s="53">
        <v>3</v>
      </c>
      <c r="C12" s="53">
        <v>1</v>
      </c>
      <c r="D12" s="53">
        <v>7</v>
      </c>
      <c r="E12" s="53">
        <v>4</v>
      </c>
      <c r="F12" s="53">
        <v>5</v>
      </c>
      <c r="G12" s="53">
        <v>4</v>
      </c>
      <c r="H12" s="53">
        <v>6</v>
      </c>
      <c r="I12" s="53">
        <v>5</v>
      </c>
      <c r="J12" s="53">
        <v>7</v>
      </c>
      <c r="K12" s="53">
        <v>5</v>
      </c>
      <c r="L12" s="53">
        <v>1</v>
      </c>
      <c r="M12" s="53">
        <v>5</v>
      </c>
      <c r="N12" s="53">
        <v>2</v>
      </c>
      <c r="O12" s="53">
        <v>5</v>
      </c>
      <c r="P12" s="62">
        <f t="shared" si="0"/>
        <v>60</v>
      </c>
      <c r="Q12" s="39" t="s">
        <v>222</v>
      </c>
      <c r="R12" s="18"/>
      <c r="S12" s="18"/>
      <c r="T12" s="18"/>
      <c r="U12" s="18"/>
      <c r="V12" s="18"/>
      <c r="W12" s="18"/>
      <c r="X12" s="18"/>
      <c r="Y12" s="18"/>
      <c r="Z12" s="18"/>
      <c r="AA12" s="18"/>
      <c r="AB12" s="18"/>
      <c r="AC12" s="18"/>
      <c r="AD12" s="18"/>
      <c r="AE12" s="18"/>
      <c r="AF12" s="18"/>
    </row>
    <row r="13" spans="1:32" s="19" customFormat="1" x14ac:dyDescent="0.15">
      <c r="A13" s="29" t="s">
        <v>203</v>
      </c>
      <c r="B13" s="18"/>
      <c r="C13" s="18"/>
      <c r="D13" s="18"/>
      <c r="E13" s="18"/>
      <c r="F13" s="18"/>
      <c r="G13" s="18"/>
      <c r="H13" s="18"/>
      <c r="I13" s="18"/>
      <c r="J13" s="18"/>
      <c r="K13" s="18"/>
      <c r="L13" s="18"/>
      <c r="M13" s="18"/>
      <c r="N13" s="18"/>
      <c r="O13" s="18"/>
      <c r="P13" s="18"/>
    </row>
    <row r="14" spans="1:32" ht="14.25" x14ac:dyDescent="0.15">
      <c r="A14" s="64" t="s">
        <v>228</v>
      </c>
      <c r="B14" s="53"/>
      <c r="C14" s="53"/>
      <c r="D14" s="53"/>
      <c r="E14" s="53"/>
      <c r="F14" s="53"/>
      <c r="G14" s="53"/>
      <c r="H14" s="53"/>
      <c r="I14" s="53"/>
      <c r="J14" s="53"/>
      <c r="K14" s="53"/>
      <c r="L14" s="53"/>
      <c r="M14" s="53"/>
      <c r="N14" s="53"/>
      <c r="O14" s="53"/>
      <c r="P14" s="62"/>
      <c r="Q14" s="39"/>
      <c r="R14" s="18"/>
      <c r="S14" s="18"/>
      <c r="T14" s="18"/>
      <c r="U14" s="18"/>
      <c r="V14" s="18"/>
      <c r="W14" s="18"/>
      <c r="X14" s="18"/>
      <c r="Y14" s="18"/>
      <c r="Z14" s="18"/>
      <c r="AA14" s="18"/>
      <c r="AB14" s="18"/>
      <c r="AC14" s="18"/>
      <c r="AD14" s="18"/>
      <c r="AE14" s="18"/>
      <c r="AF14" s="18"/>
    </row>
    <row r="15" spans="1:32" ht="35.25" x14ac:dyDescent="0.15">
      <c r="A15" s="34" t="s">
        <v>241</v>
      </c>
      <c r="B15" s="53">
        <v>6</v>
      </c>
      <c r="C15" s="53">
        <v>5</v>
      </c>
      <c r="D15" s="53">
        <v>2</v>
      </c>
      <c r="E15" s="53">
        <v>5</v>
      </c>
      <c r="F15" s="53">
        <v>7</v>
      </c>
      <c r="G15" s="53">
        <v>7</v>
      </c>
      <c r="H15" s="53">
        <v>7</v>
      </c>
      <c r="I15" s="53">
        <v>6</v>
      </c>
      <c r="J15" s="53">
        <v>7</v>
      </c>
      <c r="K15" s="53">
        <v>7</v>
      </c>
      <c r="L15" s="53">
        <v>7</v>
      </c>
      <c r="M15" s="53">
        <v>5</v>
      </c>
      <c r="N15" s="53">
        <v>7</v>
      </c>
      <c r="O15" s="53">
        <v>6</v>
      </c>
      <c r="P15" s="62">
        <f>SUM(B15:O15)</f>
        <v>84</v>
      </c>
      <c r="Q15" s="39" t="s">
        <v>222</v>
      </c>
      <c r="R15" s="18"/>
      <c r="S15" s="18"/>
      <c r="T15" s="18"/>
      <c r="U15" s="18"/>
      <c r="V15" s="18"/>
      <c r="W15" s="18"/>
      <c r="X15" s="18"/>
      <c r="Y15" s="18"/>
      <c r="Z15" s="18"/>
      <c r="AA15" s="18"/>
      <c r="AB15" s="18"/>
      <c r="AC15" s="18"/>
      <c r="AD15" s="18"/>
      <c r="AE15" s="18"/>
      <c r="AF15" s="18"/>
    </row>
    <row r="16" spans="1:32" ht="24" x14ac:dyDescent="0.15">
      <c r="A16" s="34" t="s">
        <v>242</v>
      </c>
      <c r="B16" s="53">
        <v>5</v>
      </c>
      <c r="C16" s="53">
        <v>5</v>
      </c>
      <c r="D16" s="53">
        <v>7</v>
      </c>
      <c r="E16" s="53">
        <v>6</v>
      </c>
      <c r="F16" s="53">
        <v>6</v>
      </c>
      <c r="G16" s="53">
        <v>7</v>
      </c>
      <c r="H16" s="53">
        <v>6</v>
      </c>
      <c r="I16" s="53">
        <v>6</v>
      </c>
      <c r="J16" s="53">
        <v>7</v>
      </c>
      <c r="K16" s="53">
        <v>7</v>
      </c>
      <c r="L16" s="53">
        <v>5</v>
      </c>
      <c r="M16" s="53">
        <v>5</v>
      </c>
      <c r="N16" s="53">
        <v>6</v>
      </c>
      <c r="O16" s="53">
        <v>5</v>
      </c>
      <c r="P16" s="62">
        <f>SUM(B16:O16)</f>
        <v>83</v>
      </c>
      <c r="Q16" s="39" t="s">
        <v>222</v>
      </c>
      <c r="R16" s="18"/>
      <c r="S16" s="18"/>
      <c r="T16" s="18"/>
      <c r="U16" s="18"/>
      <c r="V16" s="18"/>
      <c r="W16" s="18"/>
      <c r="X16" s="18"/>
      <c r="Y16" s="18"/>
      <c r="Z16" s="18"/>
      <c r="AA16" s="18"/>
      <c r="AB16" s="18"/>
      <c r="AC16" s="18"/>
      <c r="AD16" s="18"/>
      <c r="AE16" s="18"/>
      <c r="AF16" s="18"/>
    </row>
    <row r="17" spans="1:32" ht="24" x14ac:dyDescent="0.15">
      <c r="A17" s="34" t="s">
        <v>243</v>
      </c>
      <c r="B17" s="53">
        <v>3</v>
      </c>
      <c r="C17" s="53">
        <v>3</v>
      </c>
      <c r="D17" s="53">
        <v>7</v>
      </c>
      <c r="E17" s="53">
        <v>7</v>
      </c>
      <c r="F17" s="53">
        <v>5</v>
      </c>
      <c r="G17" s="53">
        <v>6</v>
      </c>
      <c r="H17" s="53">
        <v>7</v>
      </c>
      <c r="I17" s="53">
        <v>5</v>
      </c>
      <c r="J17" s="53">
        <v>7</v>
      </c>
      <c r="K17" s="53">
        <v>7</v>
      </c>
      <c r="L17" s="53">
        <v>7</v>
      </c>
      <c r="M17" s="53">
        <v>5</v>
      </c>
      <c r="N17" s="53">
        <v>6</v>
      </c>
      <c r="O17" s="53">
        <v>6</v>
      </c>
      <c r="P17" s="62">
        <f>SUM(B17:O17)</f>
        <v>81</v>
      </c>
      <c r="Q17" s="39" t="s">
        <v>222</v>
      </c>
      <c r="R17" s="18"/>
      <c r="S17" s="18"/>
      <c r="T17" s="18"/>
      <c r="U17" s="18"/>
      <c r="V17" s="18"/>
      <c r="W17" s="18"/>
      <c r="X17" s="18"/>
      <c r="Y17" s="18"/>
      <c r="Z17" s="18"/>
      <c r="AA17" s="18"/>
      <c r="AB17" s="18"/>
      <c r="AC17" s="18"/>
      <c r="AD17" s="18"/>
      <c r="AE17" s="18"/>
      <c r="AF17" s="18"/>
    </row>
    <row r="18" spans="1:32" ht="24" x14ac:dyDescent="0.15">
      <c r="A18" s="34" t="s">
        <v>244</v>
      </c>
      <c r="B18" s="53">
        <v>7</v>
      </c>
      <c r="C18" s="53">
        <v>1</v>
      </c>
      <c r="D18" s="53">
        <v>4</v>
      </c>
      <c r="E18" s="53">
        <v>7</v>
      </c>
      <c r="F18" s="53">
        <v>6</v>
      </c>
      <c r="G18" s="53">
        <v>6</v>
      </c>
      <c r="H18" s="53">
        <v>7</v>
      </c>
      <c r="I18" s="53">
        <v>7</v>
      </c>
      <c r="J18" s="53">
        <v>7</v>
      </c>
      <c r="K18" s="53">
        <v>6</v>
      </c>
      <c r="L18" s="53">
        <v>7</v>
      </c>
      <c r="M18" s="53">
        <v>5</v>
      </c>
      <c r="N18" s="53">
        <v>5</v>
      </c>
      <c r="O18" s="53">
        <v>6</v>
      </c>
      <c r="P18" s="62">
        <f>SUM(B18:O18)</f>
        <v>81</v>
      </c>
      <c r="Q18" s="39" t="s">
        <v>223</v>
      </c>
      <c r="R18" s="18"/>
      <c r="S18" s="18"/>
      <c r="T18" s="18"/>
      <c r="U18" s="18"/>
      <c r="V18" s="18"/>
      <c r="W18" s="18"/>
      <c r="X18" s="18"/>
      <c r="Y18" s="18"/>
      <c r="Z18" s="18"/>
      <c r="AA18" s="18"/>
      <c r="AB18" s="18"/>
      <c r="AC18" s="18"/>
      <c r="AD18" s="18"/>
      <c r="AE18" s="18"/>
      <c r="AF18" s="18"/>
    </row>
    <row r="19" spans="1:32" ht="24" x14ac:dyDescent="0.15">
      <c r="A19" s="34" t="s">
        <v>245</v>
      </c>
      <c r="B19" s="53">
        <v>7</v>
      </c>
      <c r="C19" s="53">
        <v>1</v>
      </c>
      <c r="D19" s="53">
        <v>4</v>
      </c>
      <c r="E19" s="53">
        <v>5</v>
      </c>
      <c r="F19" s="53">
        <v>5</v>
      </c>
      <c r="G19" s="53">
        <v>5</v>
      </c>
      <c r="H19" s="53">
        <v>7</v>
      </c>
      <c r="I19" s="53">
        <v>7</v>
      </c>
      <c r="J19" s="53">
        <v>7</v>
      </c>
      <c r="K19" s="53">
        <v>6</v>
      </c>
      <c r="L19" s="53">
        <v>5</v>
      </c>
      <c r="M19" s="53">
        <v>5</v>
      </c>
      <c r="N19" s="53">
        <v>6</v>
      </c>
      <c r="O19" s="53">
        <v>7</v>
      </c>
      <c r="P19" s="62">
        <f>SUM(B19:O19)</f>
        <v>77</v>
      </c>
      <c r="Q19" s="39" t="s">
        <v>223</v>
      </c>
      <c r="R19" s="18"/>
      <c r="S19" s="18"/>
      <c r="T19" s="18"/>
      <c r="U19" s="18"/>
      <c r="V19" s="18"/>
      <c r="W19" s="18"/>
      <c r="X19" s="18"/>
      <c r="Y19" s="18"/>
      <c r="Z19" s="18"/>
      <c r="AA19" s="18"/>
      <c r="AB19" s="18"/>
      <c r="AC19" s="18"/>
      <c r="AD19" s="18"/>
      <c r="AE19" s="18"/>
      <c r="AF19" s="18"/>
    </row>
    <row r="20" spans="1:32" x14ac:dyDescent="0.15">
      <c r="A20" s="34" t="s">
        <v>246</v>
      </c>
      <c r="B20" s="53"/>
      <c r="C20" s="53"/>
      <c r="D20" s="53"/>
      <c r="E20" s="53"/>
      <c r="F20" s="53"/>
      <c r="G20" s="53"/>
      <c r="H20" s="53"/>
      <c r="I20" s="53"/>
      <c r="J20" s="53"/>
      <c r="K20" s="53"/>
      <c r="L20" s="53"/>
      <c r="M20" s="53"/>
      <c r="N20" s="53"/>
      <c r="O20" s="53"/>
      <c r="P20" s="62"/>
      <c r="Q20" s="39" t="s">
        <v>223</v>
      </c>
      <c r="R20" s="18"/>
      <c r="S20" s="18"/>
      <c r="T20" s="18"/>
      <c r="U20" s="18"/>
      <c r="V20" s="18"/>
      <c r="W20" s="18"/>
      <c r="X20" s="18"/>
      <c r="Y20" s="18"/>
      <c r="Z20" s="18"/>
      <c r="AA20" s="18"/>
      <c r="AB20" s="18"/>
      <c r="AC20" s="18"/>
      <c r="AD20" s="18"/>
      <c r="AE20" s="18"/>
      <c r="AF20" s="18"/>
    </row>
    <row r="21" spans="1:32" x14ac:dyDescent="0.15">
      <c r="A21" s="34" t="s">
        <v>247</v>
      </c>
      <c r="B21" s="53"/>
      <c r="C21" s="53"/>
      <c r="D21" s="53"/>
      <c r="E21" s="53"/>
      <c r="F21" s="53"/>
      <c r="G21" s="53"/>
      <c r="H21" s="53"/>
      <c r="I21" s="53"/>
      <c r="J21" s="53"/>
      <c r="K21" s="53"/>
      <c r="L21" s="53"/>
      <c r="M21" s="53"/>
      <c r="N21" s="53"/>
      <c r="O21" s="53"/>
      <c r="P21" s="62"/>
      <c r="Q21" s="39" t="s">
        <v>223</v>
      </c>
      <c r="R21" s="18"/>
      <c r="S21" s="18"/>
      <c r="T21" s="18"/>
      <c r="U21" s="18"/>
      <c r="V21" s="18"/>
      <c r="W21" s="18"/>
      <c r="X21" s="18"/>
      <c r="Y21" s="18"/>
      <c r="Z21" s="18"/>
      <c r="AA21" s="18"/>
      <c r="AB21" s="18"/>
      <c r="AC21" s="18"/>
      <c r="AD21" s="18"/>
      <c r="AE21" s="18"/>
      <c r="AF21" s="18"/>
    </row>
    <row r="22" spans="1:32" ht="24" x14ac:dyDescent="0.15">
      <c r="A22" s="26" t="s">
        <v>248</v>
      </c>
      <c r="B22" s="53"/>
      <c r="C22" s="53"/>
      <c r="D22" s="53"/>
      <c r="E22" s="53"/>
      <c r="F22" s="53"/>
      <c r="G22" s="53"/>
      <c r="H22" s="53"/>
      <c r="I22" s="53"/>
      <c r="J22" s="53"/>
      <c r="K22" s="53"/>
      <c r="L22" s="53"/>
      <c r="M22" s="53"/>
      <c r="N22" s="53"/>
      <c r="O22" s="53"/>
      <c r="P22" s="62"/>
      <c r="Q22" s="39" t="s">
        <v>223</v>
      </c>
      <c r="R22" s="18"/>
      <c r="S22" s="18"/>
      <c r="T22" s="18"/>
      <c r="U22" s="18"/>
      <c r="V22" s="18"/>
      <c r="W22" s="18"/>
      <c r="X22" s="18"/>
      <c r="Y22" s="18"/>
      <c r="Z22" s="18"/>
      <c r="AA22" s="18"/>
      <c r="AB22" s="18"/>
      <c r="AC22" s="18"/>
      <c r="AD22" s="18"/>
      <c r="AE22" s="18"/>
      <c r="AF22" s="18"/>
    </row>
    <row r="23" spans="1:32" ht="46.5" x14ac:dyDescent="0.15">
      <c r="A23" s="34" t="s">
        <v>249</v>
      </c>
      <c r="B23" s="53">
        <v>6</v>
      </c>
      <c r="C23" s="53">
        <v>6</v>
      </c>
      <c r="D23" s="53">
        <v>6</v>
      </c>
      <c r="E23" s="53">
        <v>7</v>
      </c>
      <c r="F23" s="53">
        <v>5</v>
      </c>
      <c r="G23" s="53">
        <v>4</v>
      </c>
      <c r="H23" s="53">
        <v>7</v>
      </c>
      <c r="I23" s="53">
        <v>7</v>
      </c>
      <c r="J23" s="53">
        <v>7</v>
      </c>
      <c r="K23" s="53">
        <v>6</v>
      </c>
      <c r="L23" s="53">
        <v>1</v>
      </c>
      <c r="M23" s="53">
        <v>3</v>
      </c>
      <c r="N23" s="53">
        <v>7</v>
      </c>
      <c r="O23" s="53">
        <v>5</v>
      </c>
      <c r="P23" s="62">
        <f t="shared" ref="P23:P28" si="1">SUM(B23:O23)</f>
        <v>77</v>
      </c>
      <c r="Q23" s="39" t="s">
        <v>223</v>
      </c>
      <c r="R23" s="18"/>
      <c r="S23" s="18"/>
      <c r="T23" s="18"/>
      <c r="U23" s="18"/>
      <c r="V23" s="18"/>
      <c r="W23" s="18"/>
      <c r="X23" s="18"/>
      <c r="Y23" s="18"/>
      <c r="Z23" s="18"/>
      <c r="AA23" s="18"/>
      <c r="AB23" s="18"/>
      <c r="AC23" s="18"/>
      <c r="AD23" s="18"/>
      <c r="AE23" s="18"/>
      <c r="AF23" s="18"/>
    </row>
    <row r="24" spans="1:32" ht="61.5" customHeight="1" x14ac:dyDescent="0.15">
      <c r="A24" s="34" t="s">
        <v>250</v>
      </c>
      <c r="B24" s="53">
        <v>2</v>
      </c>
      <c r="C24" s="53">
        <v>5</v>
      </c>
      <c r="D24" s="53">
        <v>7</v>
      </c>
      <c r="E24" s="53">
        <v>7</v>
      </c>
      <c r="F24" s="53">
        <v>3</v>
      </c>
      <c r="G24" s="53">
        <v>5</v>
      </c>
      <c r="H24" s="53">
        <v>6</v>
      </c>
      <c r="I24" s="53">
        <v>6</v>
      </c>
      <c r="J24" s="53">
        <v>7</v>
      </c>
      <c r="K24" s="53">
        <v>7</v>
      </c>
      <c r="L24" s="53">
        <v>2</v>
      </c>
      <c r="M24" s="53">
        <v>5</v>
      </c>
      <c r="N24" s="53">
        <v>6</v>
      </c>
      <c r="O24" s="53">
        <v>6</v>
      </c>
      <c r="P24" s="62">
        <f t="shared" si="1"/>
        <v>74</v>
      </c>
      <c r="Q24" s="39" t="s">
        <v>223</v>
      </c>
      <c r="R24" s="18"/>
      <c r="S24" s="18"/>
      <c r="T24" s="18"/>
      <c r="U24" s="18"/>
      <c r="V24" s="18"/>
      <c r="W24" s="18"/>
      <c r="X24" s="18"/>
      <c r="Y24" s="18"/>
      <c r="Z24" s="18"/>
      <c r="AA24" s="18"/>
      <c r="AB24" s="18"/>
      <c r="AC24" s="18"/>
      <c r="AD24" s="18"/>
      <c r="AE24" s="18"/>
      <c r="AF24" s="18"/>
    </row>
    <row r="25" spans="1:32" ht="43.5" customHeight="1" x14ac:dyDescent="0.15">
      <c r="A25" s="34" t="s">
        <v>251</v>
      </c>
      <c r="B25" s="53">
        <v>6</v>
      </c>
      <c r="C25" s="53">
        <v>3</v>
      </c>
      <c r="D25" s="53">
        <v>4</v>
      </c>
      <c r="E25" s="53">
        <v>5</v>
      </c>
      <c r="F25" s="53">
        <v>5</v>
      </c>
      <c r="G25" s="53">
        <v>5</v>
      </c>
      <c r="H25" s="53">
        <v>6</v>
      </c>
      <c r="I25" s="53">
        <v>5</v>
      </c>
      <c r="J25" s="53">
        <v>7</v>
      </c>
      <c r="K25" s="53">
        <v>7</v>
      </c>
      <c r="L25" s="53">
        <v>4</v>
      </c>
      <c r="M25" s="53">
        <v>4</v>
      </c>
      <c r="N25" s="53">
        <v>4</v>
      </c>
      <c r="O25" s="53">
        <v>5</v>
      </c>
      <c r="P25" s="62">
        <f t="shared" si="1"/>
        <v>70</v>
      </c>
      <c r="Q25" s="39" t="s">
        <v>223</v>
      </c>
      <c r="R25" s="18"/>
      <c r="S25" s="18"/>
      <c r="T25" s="18"/>
      <c r="U25" s="18"/>
      <c r="V25" s="18"/>
      <c r="W25" s="18"/>
      <c r="X25" s="18"/>
      <c r="Y25" s="18"/>
      <c r="Z25" s="18"/>
      <c r="AA25" s="18"/>
      <c r="AB25" s="18"/>
      <c r="AC25" s="18"/>
      <c r="AD25" s="18"/>
      <c r="AE25" s="18"/>
      <c r="AF25" s="18"/>
    </row>
    <row r="26" spans="1:32" ht="35.25" x14ac:dyDescent="0.15">
      <c r="A26" s="34" t="s">
        <v>252</v>
      </c>
      <c r="B26" s="53">
        <v>3</v>
      </c>
      <c r="C26" s="53">
        <v>5</v>
      </c>
      <c r="D26" s="53">
        <v>3</v>
      </c>
      <c r="E26" s="53">
        <v>6</v>
      </c>
      <c r="F26" s="53">
        <v>2</v>
      </c>
      <c r="G26" s="53">
        <v>5</v>
      </c>
      <c r="H26" s="53">
        <v>5</v>
      </c>
      <c r="I26" s="53">
        <v>6</v>
      </c>
      <c r="J26" s="53">
        <v>7</v>
      </c>
      <c r="K26" s="53">
        <v>7</v>
      </c>
      <c r="L26" s="53">
        <v>5</v>
      </c>
      <c r="M26" s="53">
        <v>3</v>
      </c>
      <c r="N26" s="53">
        <v>6</v>
      </c>
      <c r="O26" s="53">
        <v>5</v>
      </c>
      <c r="P26" s="62">
        <f t="shared" si="1"/>
        <v>68</v>
      </c>
      <c r="Q26" s="39" t="s">
        <v>223</v>
      </c>
      <c r="R26" s="18"/>
      <c r="S26" s="18"/>
      <c r="T26" s="18"/>
      <c r="U26" s="18"/>
      <c r="V26" s="18"/>
      <c r="W26" s="18"/>
      <c r="X26" s="18"/>
      <c r="Y26" s="18"/>
      <c r="Z26" s="18"/>
      <c r="AA26" s="18"/>
      <c r="AB26" s="18"/>
      <c r="AC26" s="18"/>
      <c r="AD26" s="18"/>
      <c r="AE26" s="18"/>
      <c r="AF26" s="18"/>
    </row>
    <row r="27" spans="1:32" ht="24" x14ac:dyDescent="0.15">
      <c r="A27" s="34" t="s">
        <v>253</v>
      </c>
      <c r="B27" s="53">
        <v>7</v>
      </c>
      <c r="C27" s="53">
        <v>4</v>
      </c>
      <c r="D27" s="53">
        <v>1</v>
      </c>
      <c r="E27" s="53">
        <v>1</v>
      </c>
      <c r="F27" s="53">
        <v>5</v>
      </c>
      <c r="G27" s="53">
        <v>7</v>
      </c>
      <c r="H27" s="53">
        <v>6</v>
      </c>
      <c r="I27" s="53">
        <v>4</v>
      </c>
      <c r="J27" s="53">
        <v>7</v>
      </c>
      <c r="K27" s="53">
        <v>6</v>
      </c>
      <c r="L27" s="53">
        <v>5</v>
      </c>
      <c r="M27" s="53">
        <v>5</v>
      </c>
      <c r="N27" s="53">
        <v>2</v>
      </c>
      <c r="O27" s="53">
        <v>5</v>
      </c>
      <c r="P27" s="62">
        <f t="shared" si="1"/>
        <v>65</v>
      </c>
      <c r="Q27" s="39" t="s">
        <v>223</v>
      </c>
      <c r="R27" s="18"/>
      <c r="S27" s="18"/>
      <c r="T27" s="18"/>
      <c r="U27" s="18"/>
      <c r="V27" s="18"/>
      <c r="W27" s="18"/>
      <c r="X27" s="18"/>
      <c r="Y27" s="18"/>
      <c r="Z27" s="18"/>
      <c r="AA27" s="18"/>
      <c r="AB27" s="18"/>
      <c r="AC27" s="18"/>
      <c r="AD27" s="18"/>
      <c r="AE27" s="18"/>
      <c r="AF27" s="18"/>
    </row>
    <row r="28" spans="1:32" ht="24" x14ac:dyDescent="0.15">
      <c r="A28" s="34" t="s">
        <v>255</v>
      </c>
      <c r="B28" s="53">
        <v>2</v>
      </c>
      <c r="C28" s="53">
        <v>5</v>
      </c>
      <c r="D28" s="53">
        <v>1</v>
      </c>
      <c r="E28" s="53">
        <v>5</v>
      </c>
      <c r="F28" s="53">
        <v>3</v>
      </c>
      <c r="G28" s="53">
        <v>5</v>
      </c>
      <c r="H28" s="53">
        <v>6</v>
      </c>
      <c r="I28" s="53">
        <v>6</v>
      </c>
      <c r="J28" s="53">
        <v>7</v>
      </c>
      <c r="K28" s="53">
        <v>7</v>
      </c>
      <c r="L28" s="53">
        <v>1</v>
      </c>
      <c r="M28" s="53">
        <v>5</v>
      </c>
      <c r="N28" s="53">
        <v>4</v>
      </c>
      <c r="O28" s="53">
        <v>6</v>
      </c>
      <c r="P28" s="62">
        <f t="shared" si="1"/>
        <v>63</v>
      </c>
      <c r="Q28" s="39" t="s">
        <v>223</v>
      </c>
      <c r="R28" s="18"/>
      <c r="S28" s="18"/>
      <c r="T28" s="18"/>
      <c r="U28" s="18"/>
      <c r="V28" s="18"/>
      <c r="W28" s="18"/>
      <c r="X28" s="18"/>
      <c r="Y28" s="18"/>
      <c r="Z28" s="18"/>
      <c r="AA28" s="18"/>
      <c r="AB28" s="18"/>
      <c r="AC28" s="18"/>
      <c r="AD28" s="18"/>
      <c r="AE28" s="18"/>
      <c r="AF28" s="18"/>
    </row>
  </sheetData>
  <autoFilter ref="Q1:Q28" xr:uid="{9A2D27FC-9FA8-8442-9E20-25297C53A0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18</vt:i4>
      </vt:variant>
    </vt:vector>
  </HeadingPairs>
  <TitlesOfParts>
    <vt:vector size="18" baseType="lpstr">
      <vt:lpstr>S.P.I.C.E. Unsorted</vt:lpstr>
      <vt:lpstr>S.</vt:lpstr>
      <vt:lpstr>P.</vt:lpstr>
      <vt:lpstr>I.</vt:lpstr>
      <vt:lpstr>C.</vt:lpstr>
      <vt:lpstr>E.</vt:lpstr>
      <vt:lpstr>Before Meditation</vt:lpstr>
      <vt:lpstr>During Meditation</vt:lpstr>
      <vt:lpstr>After Meditation</vt:lpstr>
      <vt:lpstr>Sessions</vt:lpstr>
      <vt:lpstr>Scales</vt:lpstr>
      <vt:lpstr>Day</vt:lpstr>
      <vt:lpstr>Daily</vt:lpstr>
      <vt:lpstr>Weekly</vt:lpstr>
      <vt:lpstr>Monthly</vt:lpstr>
      <vt:lpstr>Every 3 Months</vt:lpstr>
      <vt:lpstr>Every 6 Months</vt:lpstr>
      <vt:lpstr>Yearly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Kittisobhana</dc:creator>
  <cp:lastModifiedBy>A. Kusalacara</cp:lastModifiedBy>
  <dcterms:created xsi:type="dcterms:W3CDTF">2025-01-09T06:46:46Z</dcterms:created>
  <dcterms:modified xsi:type="dcterms:W3CDTF">2025-05-07T00:58:45Z</dcterms:modified>
</cp:coreProperties>
</file>